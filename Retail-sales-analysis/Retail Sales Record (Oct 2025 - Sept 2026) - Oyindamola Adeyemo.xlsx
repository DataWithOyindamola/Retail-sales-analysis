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mePC\Documents\Ebony\Capstone Project - Oyindamola Adeyemo\"/>
    </mc:Choice>
  </mc:AlternateContent>
  <xr:revisionPtr revIDLastSave="0" documentId="13_ncr:1_{C8A67913-25A4-4234-9410-466B3DFEEFF8}" xr6:coauthVersionLast="47" xr6:coauthVersionMax="47" xr10:uidLastSave="{00000000-0000-0000-0000-000000000000}"/>
  <bookViews>
    <workbookView xWindow="-110" yWindow="-110" windowWidth="19420" windowHeight="10300" tabRatio="846" firstSheet="1" activeTab="6" xr2:uid="{00000000-000D-0000-FFFF-FFFF00000000}"/>
  </bookViews>
  <sheets>
    <sheet name="Raw Sales Data" sheetId="1" r:id="rId1"/>
    <sheet name="Retail Sales Record " sheetId="2" r:id="rId2"/>
    <sheet name="Data Summary " sheetId="4" r:id="rId3"/>
    <sheet name="Pivot -Region" sheetId="6" r:id="rId4"/>
    <sheet name="Pivot - Category" sheetId="7" r:id="rId5"/>
    <sheet name="Pivot - Channel" sheetId="8" r:id="rId6"/>
    <sheet name="Monthly Trend &amp; Forecast " sheetId="10" r:id="rId7"/>
  </sheets>
  <definedNames>
    <definedName name="_xlnm._FilterDatabase" localSheetId="1" hidden="1">'Retail Sales Record '!$A$1:$Q$141</definedName>
  </definedNames>
  <calcPr calcId="191029" iterateDelta="1E-4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10" l="1"/>
  <c r="B5" i="10"/>
  <c r="C16" i="10" s="1"/>
  <c r="B6" i="10"/>
  <c r="B7" i="10"/>
  <c r="B8" i="10"/>
  <c r="B9" i="10"/>
  <c r="B11" i="10"/>
  <c r="B12" i="10"/>
  <c r="B13" i="10"/>
  <c r="B14" i="10"/>
  <c r="B4" i="10"/>
  <c r="C17" i="10" s="1"/>
  <c r="C15" i="10" l="1"/>
</calcChain>
</file>

<file path=xl/sharedStrings.xml><?xml version="1.0" encoding="utf-8"?>
<sst xmlns="http://schemas.openxmlformats.org/spreadsheetml/2006/main" count="3251" uniqueCount="640">
  <si>
    <t>Order ID</t>
  </si>
  <si>
    <t>Order Date</t>
  </si>
  <si>
    <t>Customer Name</t>
  </si>
  <si>
    <t>Region</t>
  </si>
  <si>
    <t>City</t>
  </si>
  <si>
    <t>Product Category</t>
  </si>
  <si>
    <t>Product</t>
  </si>
  <si>
    <t>Quantity</t>
  </si>
  <si>
    <t>Unit Price</t>
  </si>
  <si>
    <t>Discount (%)</t>
  </si>
  <si>
    <t>Total Sales</t>
  </si>
  <si>
    <t>Shipping Cost</t>
  </si>
  <si>
    <t>Sales Channel</t>
  </si>
  <si>
    <t>Sales Rep</t>
  </si>
  <si>
    <t>Payment Method</t>
  </si>
  <si>
    <t>Order Status</t>
  </si>
  <si>
    <t>ORD1019</t>
  </si>
  <si>
    <t>2026-07-03</t>
  </si>
  <si>
    <t>Matthew White</t>
  </si>
  <si>
    <t>Central</t>
  </si>
  <si>
    <t>Jos</t>
  </si>
  <si>
    <t>Office Supplies</t>
  </si>
  <si>
    <t>Clipboard</t>
  </si>
  <si>
    <t>in-store</t>
  </si>
  <si>
    <t>Kemi Balogun</t>
  </si>
  <si>
    <t>debit card</t>
  </si>
  <si>
    <t>Delivered</t>
  </si>
  <si>
    <t>ORD1066</t>
  </si>
  <si>
    <t>2026-08-02</t>
  </si>
  <si>
    <t>Stephanie Thomas</t>
  </si>
  <si>
    <t>South</t>
  </si>
  <si>
    <t>Calabar</t>
  </si>
  <si>
    <t>Fashion</t>
  </si>
  <si>
    <t>Women's Blouse</t>
  </si>
  <si>
    <t>online</t>
  </si>
  <si>
    <t>Grace Nwosu</t>
  </si>
  <si>
    <t>CASH</t>
  </si>
  <si>
    <t>ORD1067</t>
  </si>
  <si>
    <t>2026-07-20</t>
  </si>
  <si>
    <t>Jessica Anderson</t>
  </si>
  <si>
    <t>west</t>
  </si>
  <si>
    <t>Osogbo</t>
  </si>
  <si>
    <t>Beauty &amp; Personal Care</t>
  </si>
  <si>
    <t>Hair Dryer</t>
  </si>
  <si>
    <t>Yakubu Sani</t>
  </si>
  <si>
    <t>Mobile Money</t>
  </si>
  <si>
    <t>delivered</t>
  </si>
  <si>
    <t>ORD1089</t>
  </si>
  <si>
    <t>2026-04-21</t>
  </si>
  <si>
    <t>Karen Harris</t>
  </si>
  <si>
    <t>WEST</t>
  </si>
  <si>
    <t>Abeokuta</t>
  </si>
  <si>
    <t>File Folders</t>
  </si>
  <si>
    <t>In Store</t>
  </si>
  <si>
    <t>Ngozi Eze</t>
  </si>
  <si>
    <t>Cash</t>
  </si>
  <si>
    <t>Returned</t>
  </si>
  <si>
    <t>ORD1043</t>
  </si>
  <si>
    <t>2025-11-20</t>
  </si>
  <si>
    <t>Amanda Ramirez</t>
  </si>
  <si>
    <t>West</t>
  </si>
  <si>
    <t>Ibadan</t>
  </si>
  <si>
    <t>Body Lotion</t>
  </si>
  <si>
    <t>Online</t>
  </si>
  <si>
    <t>credit card</t>
  </si>
  <si>
    <t>DELIVERED</t>
  </si>
  <si>
    <t>ORD1137</t>
  </si>
  <si>
    <t>2026-02-21</t>
  </si>
  <si>
    <t xml:space="preserve">  James Hernandez  </t>
  </si>
  <si>
    <t>East</t>
  </si>
  <si>
    <t>Aba</t>
  </si>
  <si>
    <t>Home &amp; Kitchen</t>
  </si>
  <si>
    <t>Cutting Board Set</t>
  </si>
  <si>
    <t>In-Store</t>
  </si>
  <si>
    <t>ORD1078</t>
  </si>
  <si>
    <t>2026-04-28</t>
  </si>
  <si>
    <t>Ashley Smith</t>
  </si>
  <si>
    <t>body lotion</t>
  </si>
  <si>
    <t>Ifeanyi Okoro</t>
  </si>
  <si>
    <t>ORD1056</t>
  </si>
  <si>
    <t>2026-08-11</t>
  </si>
  <si>
    <t>Joseph Ramirez</t>
  </si>
  <si>
    <t>Owerri</t>
  </si>
  <si>
    <t>Baseball Cap</t>
  </si>
  <si>
    <t>Femi Adeyemi</t>
  </si>
  <si>
    <t>mobile money</t>
  </si>
  <si>
    <t>ORD1051</t>
  </si>
  <si>
    <t>01/19/2026</t>
  </si>
  <si>
    <t>Jennifer Perez</t>
  </si>
  <si>
    <t>North</t>
  </si>
  <si>
    <t>Kano</t>
  </si>
  <si>
    <t>Running Shoes</t>
  </si>
  <si>
    <t>Pending</t>
  </si>
  <si>
    <t>ORD1025</t>
  </si>
  <si>
    <t>2026-04-18</t>
  </si>
  <si>
    <t>RONALD JACKSON</t>
  </si>
  <si>
    <t>east</t>
  </si>
  <si>
    <t>Whiteboard Markers</t>
  </si>
  <si>
    <t>Aisha Bello</t>
  </si>
  <si>
    <t>ORD1087</t>
  </si>
  <si>
    <t>2026-04-30</t>
  </si>
  <si>
    <t>Steven Garcia</t>
  </si>
  <si>
    <t>Non-stick Frying Pan</t>
  </si>
  <si>
    <t>Tunde Bakare</t>
  </si>
  <si>
    <t>ORD1103</t>
  </si>
  <si>
    <t>2026-03-13</t>
  </si>
  <si>
    <t>Emily Hernandez</t>
  </si>
  <si>
    <t>CENTRAL</t>
  </si>
  <si>
    <t>Abuja</t>
  </si>
  <si>
    <t>Leather Belt</t>
  </si>
  <si>
    <t>ORD1022</t>
  </si>
  <si>
    <t>2026-05-06</t>
  </si>
  <si>
    <t>Kevin Jackson</t>
  </si>
  <si>
    <t xml:space="preserve">West </t>
  </si>
  <si>
    <t>Blender</t>
  </si>
  <si>
    <t>Halima Yusuf</t>
  </si>
  <si>
    <t>ORD1009</t>
  </si>
  <si>
    <t>2025-11-06</t>
  </si>
  <si>
    <t xml:space="preserve">  John Hernandez  </t>
  </si>
  <si>
    <t>Minna</t>
  </si>
  <si>
    <t>Electronics</t>
  </si>
  <si>
    <t>Bluetooth Speaker</t>
  </si>
  <si>
    <t>ORD1014</t>
  </si>
  <si>
    <t>31-08-2026</t>
  </si>
  <si>
    <t>Michael Williams</t>
  </si>
  <si>
    <t>SOUTH</t>
  </si>
  <si>
    <t>Port Harcourt</t>
  </si>
  <si>
    <t>Laptop Stand</t>
  </si>
  <si>
    <t>ONLINE</t>
  </si>
  <si>
    <t>ORD1034</t>
  </si>
  <si>
    <t>2026-05-08</t>
  </si>
  <si>
    <t>Jennifer Davis</t>
  </si>
  <si>
    <t>Bank Transfer</t>
  </si>
  <si>
    <t>ORD1105</t>
  </si>
  <si>
    <t>2026-05-22</t>
  </si>
  <si>
    <t>Andrew Lee</t>
  </si>
  <si>
    <t>Kaduna</t>
  </si>
  <si>
    <t>Power Bank</t>
  </si>
  <si>
    <t>Credit Card</t>
  </si>
  <si>
    <t>ORD1084</t>
  </si>
  <si>
    <t>2026-08-09</t>
  </si>
  <si>
    <t xml:space="preserve">  Robert Gonzalez  </t>
  </si>
  <si>
    <t>EAST</t>
  </si>
  <si>
    <t>ORD1028</t>
  </si>
  <si>
    <t>2025-11-22</t>
  </si>
  <si>
    <t>Karen Brown</t>
  </si>
  <si>
    <t>Cancelled</t>
  </si>
  <si>
    <t>ORD1088</t>
  </si>
  <si>
    <t>2026-08-26</t>
  </si>
  <si>
    <t>Susan Moore</t>
  </si>
  <si>
    <t>central</t>
  </si>
  <si>
    <t>Denim Jeans</t>
  </si>
  <si>
    <t>Chidi Obinna</t>
  </si>
  <si>
    <t>ORD1047</t>
  </si>
  <si>
    <t>2026-06-14</t>
  </si>
  <si>
    <t>Donald Johnson</t>
  </si>
  <si>
    <t>NORTH</t>
  </si>
  <si>
    <t>Canvas Backpack</t>
  </si>
  <si>
    <t>CANCELLED</t>
  </si>
  <si>
    <t>ORD1040</t>
  </si>
  <si>
    <t>2025-12-09</t>
  </si>
  <si>
    <t>Charles Taylor</t>
  </si>
  <si>
    <t>Dish Rack</t>
  </si>
  <si>
    <t>ORD1027</t>
  </si>
  <si>
    <t>20/01/2026</t>
  </si>
  <si>
    <t>Matthew Davis</t>
  </si>
  <si>
    <t>Sokoto</t>
  </si>
  <si>
    <t>Coffee Maker</t>
  </si>
  <si>
    <t>ORD1120</t>
  </si>
  <si>
    <t>2026-08-27</t>
  </si>
  <si>
    <t>Linda Davis</t>
  </si>
  <si>
    <t xml:space="preserve"> South</t>
  </si>
  <si>
    <t>Debit Card</t>
  </si>
  <si>
    <t>ORD1007</t>
  </si>
  <si>
    <t>2026-03-07</t>
  </si>
  <si>
    <t>Lisa Harris</t>
  </si>
  <si>
    <t>Perfume 50ml</t>
  </si>
  <si>
    <t>ORD1039</t>
  </si>
  <si>
    <t>27-04-2026</t>
  </si>
  <si>
    <t>Patricia Miller</t>
  </si>
  <si>
    <t>Enugu</t>
  </si>
  <si>
    <t>ballpoint pens (box)</t>
  </si>
  <si>
    <t>ORD1140</t>
  </si>
  <si>
    <t>11/01/2025</t>
  </si>
  <si>
    <t>THOMAS CLARK</t>
  </si>
  <si>
    <t>Facial Cleanser</t>
  </si>
  <si>
    <t>ORD1069</t>
  </si>
  <si>
    <t>2026-05-18</t>
  </si>
  <si>
    <t>ANTHONY WILLIAMS</t>
  </si>
  <si>
    <t>blender</t>
  </si>
  <si>
    <t>ORD1123</t>
  </si>
  <si>
    <t>2026-07-19</t>
  </si>
  <si>
    <t>Jessica Miller</t>
  </si>
  <si>
    <t>Lip Balm Set</t>
  </si>
  <si>
    <t>ORD1017</t>
  </si>
  <si>
    <t>2026-02-05</t>
  </si>
  <si>
    <t>Jessica Ramirez</t>
  </si>
  <si>
    <t>USB-C Charger</t>
  </si>
  <si>
    <t>ORD1001</t>
  </si>
  <si>
    <t>05-08-2026</t>
  </si>
  <si>
    <t xml:space="preserve">  Kevin Brown  </t>
  </si>
  <si>
    <t>south</t>
  </si>
  <si>
    <t>Uyo</t>
  </si>
  <si>
    <t>wireless keyboard</t>
  </si>
  <si>
    <t>ORD1026</t>
  </si>
  <si>
    <t>2026-04-13</t>
  </si>
  <si>
    <t xml:space="preserve">  Joshua Perez  </t>
  </si>
  <si>
    <t>pending</t>
  </si>
  <si>
    <t>ORD1015</t>
  </si>
  <si>
    <t>2025-10-02</t>
  </si>
  <si>
    <t>Charles Martin</t>
  </si>
  <si>
    <t>Stapler</t>
  </si>
  <si>
    <t>ORD1127</t>
  </si>
  <si>
    <t>18/01/2026</t>
  </si>
  <si>
    <t>Carol Lopez</t>
  </si>
  <si>
    <t>ORD1006</t>
  </si>
  <si>
    <t>2026-02-12</t>
  </si>
  <si>
    <t>Emily Ramirez</t>
  </si>
  <si>
    <t>ORD1097</t>
  </si>
  <si>
    <t>Margaret Lopez</t>
  </si>
  <si>
    <t>Notebook Pack</t>
  </si>
  <si>
    <t>ORD1082</t>
  </si>
  <si>
    <t>15/04/2026</t>
  </si>
  <si>
    <t>Matthew Gonzalez</t>
  </si>
  <si>
    <t>ORD1059</t>
  </si>
  <si>
    <t>2026-07-14</t>
  </si>
  <si>
    <t>Susan Harris</t>
  </si>
  <si>
    <t>Smartwatch</t>
  </si>
  <si>
    <t>ORD1121</t>
  </si>
  <si>
    <t>17-07-2026</t>
  </si>
  <si>
    <t>James Thomas</t>
  </si>
  <si>
    <t>ORD1075</t>
  </si>
  <si>
    <t>2026-04-06</t>
  </si>
  <si>
    <t>Patricia Williams</t>
  </si>
  <si>
    <t>ORD1095</t>
  </si>
  <si>
    <t>2026-07-16</t>
  </si>
  <si>
    <t>Kenneth Lopez</t>
  </si>
  <si>
    <t>Air Fryer</t>
  </si>
  <si>
    <t>ORD1136</t>
  </si>
  <si>
    <t>2026-01-09</t>
  </si>
  <si>
    <t>DANIEL WILLIAMS</t>
  </si>
  <si>
    <t>Electric Shaver</t>
  </si>
  <si>
    <t>ORD1093</t>
  </si>
  <si>
    <t>11/12/2025</t>
  </si>
  <si>
    <t>Deborah Hernandez</t>
  </si>
  <si>
    <t>ORD1010</t>
  </si>
  <si>
    <t>2026-04-25</t>
  </si>
  <si>
    <t>Mark Miller</t>
  </si>
  <si>
    <t>Printer Paper (Ream)</t>
  </si>
  <si>
    <t>ORD1096</t>
  </si>
  <si>
    <t>2025-10-30</t>
  </si>
  <si>
    <t>Kimberly Anderson</t>
  </si>
  <si>
    <t>Wireless Keyboard</t>
  </si>
  <si>
    <t>ORD1037</t>
  </si>
  <si>
    <t>2026-01-01</t>
  </si>
  <si>
    <t>Webcam HD</t>
  </si>
  <si>
    <t>ORD1076</t>
  </si>
  <si>
    <t>2026-07-15</t>
  </si>
  <si>
    <t>Ronald Williams</t>
  </si>
  <si>
    <t>ORD1112</t>
  </si>
  <si>
    <t>02/06/2026</t>
  </si>
  <si>
    <t>Amanda Gonzalez</t>
  </si>
  <si>
    <t>Electric Kettle</t>
  </si>
  <si>
    <t>ORD1113</t>
  </si>
  <si>
    <t>Nancy Anderson</t>
  </si>
  <si>
    <t>Sunglasses</t>
  </si>
  <si>
    <t>ORD1002</t>
  </si>
  <si>
    <t>2025-10-23</t>
  </si>
  <si>
    <t>Ronald Sanchez</t>
  </si>
  <si>
    <t>Cutlery Set</t>
  </si>
  <si>
    <t>ORD1057</t>
  </si>
  <si>
    <t>2026-05-21</t>
  </si>
  <si>
    <t xml:space="preserve">  Nancy Lopez  </t>
  </si>
  <si>
    <t>Ballpoint Pens (Box)</t>
  </si>
  <si>
    <t>ORD1023</t>
  </si>
  <si>
    <t>2026-06-01</t>
  </si>
  <si>
    <t>David Sanchez</t>
  </si>
  <si>
    <t>Wool Scarf</t>
  </si>
  <si>
    <t>ORD1090</t>
  </si>
  <si>
    <t>2026-08-23</t>
  </si>
  <si>
    <t>Carol Rodriguez</t>
  </si>
  <si>
    <t>ORD1048</t>
  </si>
  <si>
    <t>2026-07-27</t>
  </si>
  <si>
    <t>Elizabeth Harris</t>
  </si>
  <si>
    <t>power bank</t>
  </si>
  <si>
    <t>ORD1052</t>
  </si>
  <si>
    <t xml:space="preserve">  Mary Jones  </t>
  </si>
  <si>
    <t>ORD1072</t>
  </si>
  <si>
    <t>12-01-2026</t>
  </si>
  <si>
    <t>David Johnson</t>
  </si>
  <si>
    <t>Desk Organizer</t>
  </si>
  <si>
    <t>ORD1122</t>
  </si>
  <si>
    <t>08/31/2026</t>
  </si>
  <si>
    <t>Emily Taylor</t>
  </si>
  <si>
    <t>Shampoo 500ml</t>
  </si>
  <si>
    <t>ORD1016</t>
  </si>
  <si>
    <t>2025-10-21</t>
  </si>
  <si>
    <t>John Lewis</t>
  </si>
  <si>
    <t>ORD1129</t>
  </si>
  <si>
    <t>2026-02-04</t>
  </si>
  <si>
    <t>Elizabeth Robinson</t>
  </si>
  <si>
    <t>ORD1108</t>
  </si>
  <si>
    <t>22-04-2026</t>
  </si>
  <si>
    <t>Sarah Johnson</t>
  </si>
  <si>
    <t>ORD1134</t>
  </si>
  <si>
    <t>2025-11-29</t>
  </si>
  <si>
    <t>Kevin Williams</t>
  </si>
  <si>
    <t xml:space="preserve">North </t>
  </si>
  <si>
    <t>Face Wash</t>
  </si>
  <si>
    <t>ORD1104</t>
  </si>
  <si>
    <t>2026-02-09</t>
  </si>
  <si>
    <t>Donna Jackson</t>
  </si>
  <si>
    <t>Storage Containers</t>
  </si>
  <si>
    <t>returned</t>
  </si>
  <si>
    <t>ORD1060</t>
  </si>
  <si>
    <t>2026-04-04</t>
  </si>
  <si>
    <t>Margaret Jackson</t>
  </si>
  <si>
    <t>ORD1074</t>
  </si>
  <si>
    <t>2026-05-16</t>
  </si>
  <si>
    <t>Margaret Williams</t>
  </si>
  <si>
    <t>women's blouse</t>
  </si>
  <si>
    <t>ORD1086</t>
  </si>
  <si>
    <t>2025-10-14</t>
  </si>
  <si>
    <t>Andrew Thomas</t>
  </si>
  <si>
    <t>ORD1118</t>
  </si>
  <si>
    <t>2026-05-19</t>
  </si>
  <si>
    <t>William Hernandez</t>
  </si>
  <si>
    <t>ORD1099</t>
  </si>
  <si>
    <t>2026-02-03</t>
  </si>
  <si>
    <t>Edward Harris</t>
  </si>
  <si>
    <t>coffee maker</t>
  </si>
  <si>
    <t>ORD1003</t>
  </si>
  <si>
    <t>2026-01-16</t>
  </si>
  <si>
    <t xml:space="preserve">  Richard Thompson  </t>
  </si>
  <si>
    <t>ORD1031</t>
  </si>
  <si>
    <t>2026-03-06</t>
  </si>
  <si>
    <t>Richard Williams</t>
  </si>
  <si>
    <t>ORD1100</t>
  </si>
  <si>
    <t>2026-07-30</t>
  </si>
  <si>
    <t>Joshua Hernandez</t>
  </si>
  <si>
    <t>ORD1138</t>
  </si>
  <si>
    <t>2026-04-20</t>
  </si>
  <si>
    <t>Jennifer Jackson</t>
  </si>
  <si>
    <t>hand cream</t>
  </si>
  <si>
    <t>ORD1021</t>
  </si>
  <si>
    <t>03/08/2026</t>
  </si>
  <si>
    <t>Sandra Anderson</t>
  </si>
  <si>
    <t>ORD1030</t>
  </si>
  <si>
    <t>06/07/2026</t>
  </si>
  <si>
    <t>Jessica Clark</t>
  </si>
  <si>
    <t>ORD1094</t>
  </si>
  <si>
    <t>2026-03-09</t>
  </si>
  <si>
    <t xml:space="preserve">  Edward Jackson  </t>
  </si>
  <si>
    <t>ORD1101</t>
  </si>
  <si>
    <t>2026-05-02</t>
  </si>
  <si>
    <t>Mark Jones</t>
  </si>
  <si>
    <t>ORD1061</t>
  </si>
  <si>
    <t>Karen White</t>
  </si>
  <si>
    <t>ORD1109</t>
  </si>
  <si>
    <t>2026-04-22</t>
  </si>
  <si>
    <t>Deborah Jones</t>
  </si>
  <si>
    <t>ORD1107</t>
  </si>
  <si>
    <t>13/06/2026</t>
  </si>
  <si>
    <t>Joshua Davis</t>
  </si>
  <si>
    <t>ORD1135</t>
  </si>
  <si>
    <t>2026-06-15</t>
  </si>
  <si>
    <t>BARBARA ROBINSON</t>
  </si>
  <si>
    <t>ORD1029</t>
  </si>
  <si>
    <t>2026-08-30</t>
  </si>
  <si>
    <t>Paul Lee</t>
  </si>
  <si>
    <t>ORD1077</t>
  </si>
  <si>
    <t>2026-02-26</t>
  </si>
  <si>
    <t>Ashley Miller</t>
  </si>
  <si>
    <t>cancelled</t>
  </si>
  <si>
    <t>ORD1041</t>
  </si>
  <si>
    <t>31/01/2026</t>
  </si>
  <si>
    <t>Donna Perez</t>
  </si>
  <si>
    <t>Canceled</t>
  </si>
  <si>
    <t>ORD1004</t>
  </si>
  <si>
    <t>2026-03-11</t>
  </si>
  <si>
    <t>Sarah Robinson</t>
  </si>
  <si>
    <t>ORD1126</t>
  </si>
  <si>
    <t>22-05-2026</t>
  </si>
  <si>
    <t>Emily Jackson</t>
  </si>
  <si>
    <t>wireless mouse</t>
  </si>
  <si>
    <t>ORD1035</t>
  </si>
  <si>
    <t>William Davis</t>
  </si>
  <si>
    <t>ORD1106</t>
  </si>
  <si>
    <t>11/19/2025</t>
  </si>
  <si>
    <t xml:space="preserve">  Emily Wilson  </t>
  </si>
  <si>
    <t>Men's T-Shirt</t>
  </si>
  <si>
    <t>ORD1042</t>
  </si>
  <si>
    <t>13/12/2025</t>
  </si>
  <si>
    <t>CAROL JONES</t>
  </si>
  <si>
    <t>ORD1065</t>
  </si>
  <si>
    <t>2025-12-05</t>
  </si>
  <si>
    <t>Kenneth Ramirez</t>
  </si>
  <si>
    <t>ORD1073</t>
  </si>
  <si>
    <t>2026-04-16</t>
  </si>
  <si>
    <t>Ronald Lee</t>
  </si>
  <si>
    <t>ORD1130</t>
  </si>
  <si>
    <t>2026-01-31</t>
  </si>
  <si>
    <t>George Smith</t>
  </si>
  <si>
    <t>Hand Cream</t>
  </si>
  <si>
    <t>ORD1063</t>
  </si>
  <si>
    <t>2026-03-14</t>
  </si>
  <si>
    <t>Charles Williams</t>
  </si>
  <si>
    <t>ORD1132</t>
  </si>
  <si>
    <t>Andrew Martin</t>
  </si>
  <si>
    <t>north</t>
  </si>
  <si>
    <t>ORD1131</t>
  </si>
  <si>
    <t>21-10-2025</t>
  </si>
  <si>
    <t>David Gonzalez</t>
  </si>
  <si>
    <t>ORD1046</t>
  </si>
  <si>
    <t>2026-08-14</t>
  </si>
  <si>
    <t>AMANDA HARRIS</t>
  </si>
  <si>
    <t>ORD1092</t>
  </si>
  <si>
    <t>2026-02-17</t>
  </si>
  <si>
    <t xml:space="preserve">  Charles Lewis  </t>
  </si>
  <si>
    <t>ORD1049</t>
  </si>
  <si>
    <t>2025-11-19</t>
  </si>
  <si>
    <t>ORD1070</t>
  </si>
  <si>
    <t>2026-02-01</t>
  </si>
  <si>
    <t>Stephanie Martinez</t>
  </si>
  <si>
    <t>sunscreen spf50</t>
  </si>
  <si>
    <t>ORD1081</t>
  </si>
  <si>
    <t>14/05/2026</t>
  </si>
  <si>
    <t xml:space="preserve">  Michelle Lee  </t>
  </si>
  <si>
    <t>ORD1116</t>
  </si>
  <si>
    <t>2026-07-29</t>
  </si>
  <si>
    <t>Ronald Hernandez</t>
  </si>
  <si>
    <t>ORD1068</t>
  </si>
  <si>
    <t>06/20/2026</t>
  </si>
  <si>
    <t>Kenneth Jones</t>
  </si>
  <si>
    <t>ORD1115</t>
  </si>
  <si>
    <t>2025-11-13</t>
  </si>
  <si>
    <t>Donald Martin</t>
  </si>
  <si>
    <t>highlighter set</t>
  </si>
  <si>
    <t>ORD1054</t>
  </si>
  <si>
    <t>2025-11-18</t>
  </si>
  <si>
    <t>Kimberly Martinez</t>
  </si>
  <si>
    <t>ORD1018</t>
  </si>
  <si>
    <t>25/08/2026</t>
  </si>
  <si>
    <t>Sandra Lopez</t>
  </si>
  <si>
    <t>ORD1050</t>
  </si>
  <si>
    <t>Edward Jones</t>
  </si>
  <si>
    <t>ORD1124</t>
  </si>
  <si>
    <t>Paul Lewis</t>
  </si>
  <si>
    <t>ORD1012</t>
  </si>
  <si>
    <t>Emily Perez</t>
  </si>
  <si>
    <t>Tablet Stand</t>
  </si>
  <si>
    <t>ORD1133</t>
  </si>
  <si>
    <t>2026-02-15</t>
  </si>
  <si>
    <t>BRIAN WHITE</t>
  </si>
  <si>
    <t>ORD1062</t>
  </si>
  <si>
    <t>2026-03-05</t>
  </si>
  <si>
    <t>John Garcia</t>
  </si>
  <si>
    <t>ORD1071</t>
  </si>
  <si>
    <t>2026-04-10</t>
  </si>
  <si>
    <t>Jennifer Taylor</t>
  </si>
  <si>
    <t>ORD1053</t>
  </si>
  <si>
    <t>2025-11-11</t>
  </si>
  <si>
    <t>Brian Taylor</t>
  </si>
  <si>
    <t>ORD1064</t>
  </si>
  <si>
    <t>2025-10-27</t>
  </si>
  <si>
    <t>Robert Davis</t>
  </si>
  <si>
    <t>ORD1038</t>
  </si>
  <si>
    <t>2025-10-01</t>
  </si>
  <si>
    <t>ORD1083</t>
  </si>
  <si>
    <t>11/06/2026</t>
  </si>
  <si>
    <t>Ashley Taylor</t>
  </si>
  <si>
    <t>ORD1139</t>
  </si>
  <si>
    <t>Sandra Hernandez</t>
  </si>
  <si>
    <t>ORD1080</t>
  </si>
  <si>
    <t>2025-10-15</t>
  </si>
  <si>
    <t>Andrew Williams</t>
  </si>
  <si>
    <t>ORD1079</t>
  </si>
  <si>
    <t>2026-01-24</t>
  </si>
  <si>
    <t>Stephanie Moore</t>
  </si>
  <si>
    <t>ORD1005</t>
  </si>
  <si>
    <t>11/26/2025</t>
  </si>
  <si>
    <t>Deborah Moore</t>
  </si>
  <si>
    <t>ORD1020</t>
  </si>
  <si>
    <t>2025-12-29</t>
  </si>
  <si>
    <t>Edward Lewis</t>
  </si>
  <si>
    <t>ORD1058</t>
  </si>
  <si>
    <t>2025-11-26</t>
  </si>
  <si>
    <t xml:space="preserve">  Ronald Martin  </t>
  </si>
  <si>
    <t>ORD1125</t>
  </si>
  <si>
    <t>2026-04-02</t>
  </si>
  <si>
    <t>Stephanie Williams</t>
  </si>
  <si>
    <t>ORD1036</t>
  </si>
  <si>
    <t>Joseph Lee</t>
  </si>
  <si>
    <t>ORD1117</t>
  </si>
  <si>
    <t>2025-11-28</t>
  </si>
  <si>
    <t>wool scarf</t>
  </si>
  <si>
    <t>ORD1055</t>
  </si>
  <si>
    <t>2026-05-05</t>
  </si>
  <si>
    <t>Jennifer Williams</t>
  </si>
  <si>
    <t>ORD1091</t>
  </si>
  <si>
    <t>2026-07-01</t>
  </si>
  <si>
    <t>William Wilson</t>
  </si>
  <si>
    <t>Toaster</t>
  </si>
  <si>
    <t>ORD1045</t>
  </si>
  <si>
    <t>Donald Lopez</t>
  </si>
  <si>
    <t>ORD1110</t>
  </si>
  <si>
    <t>2026-08-21</t>
  </si>
  <si>
    <t>Anthony Wilson</t>
  </si>
  <si>
    <t>ORD1098</t>
  </si>
  <si>
    <t>2026-05-26</t>
  </si>
  <si>
    <t>Andrew Jones</t>
  </si>
  <si>
    <t>ORD1008</t>
  </si>
  <si>
    <t>2026-01-11</t>
  </si>
  <si>
    <t>Ronald Moore</t>
  </si>
  <si>
    <t>Ankle Boots</t>
  </si>
  <si>
    <t>ORD1128</t>
  </si>
  <si>
    <t>2025-12-08</t>
  </si>
  <si>
    <t>Margaret Thompson</t>
  </si>
  <si>
    <t>ORD1102</t>
  </si>
  <si>
    <t>10/08/2025</t>
  </si>
  <si>
    <t>Edward Clark</t>
  </si>
  <si>
    <t>ORD1111</t>
  </si>
  <si>
    <t>David Williams</t>
  </si>
  <si>
    <t>ORD1044</t>
  </si>
  <si>
    <t>2025-12-13</t>
  </si>
  <si>
    <t>Margaret Jones</t>
  </si>
  <si>
    <t>ORD1013</t>
  </si>
  <si>
    <t>Linda Lewis</t>
  </si>
  <si>
    <t>ORD1119</t>
  </si>
  <si>
    <t>2026-03-28</t>
  </si>
  <si>
    <t>Andrew Garcia</t>
  </si>
  <si>
    <t>Highlighter Set</t>
  </si>
  <si>
    <t>ORD1011</t>
  </si>
  <si>
    <t>24-04-2026</t>
  </si>
  <si>
    <t>John Anderson</t>
  </si>
  <si>
    <t>ORD1032</t>
  </si>
  <si>
    <t>Sarah Martinez</t>
  </si>
  <si>
    <t>ORD1085</t>
  </si>
  <si>
    <t>2026-08-10</t>
  </si>
  <si>
    <t>KENNETH TAYLOR</t>
  </si>
  <si>
    <t>ORD1024</t>
  </si>
  <si>
    <t>01/05/2026</t>
  </si>
  <si>
    <t>Donald Williams</t>
  </si>
  <si>
    <t>ORD1033</t>
  </si>
  <si>
    <t>02-06-2026</t>
  </si>
  <si>
    <t>Patricia Moore</t>
  </si>
  <si>
    <t>ORD1114</t>
  </si>
  <si>
    <t>2025-11-05</t>
  </si>
  <si>
    <t>Linda Robinson</t>
  </si>
  <si>
    <t xml:space="preserve">Richard Thompson  </t>
  </si>
  <si>
    <t xml:space="preserve">John Hernandez  </t>
  </si>
  <si>
    <t xml:space="preserve">Joshua Perez  </t>
  </si>
  <si>
    <t xml:space="preserve">Nancy Lopez  </t>
  </si>
  <si>
    <t xml:space="preserve">Ronald Martin  </t>
  </si>
  <si>
    <t xml:space="preserve">Michelle Lee  </t>
  </si>
  <si>
    <t xml:space="preserve">James Hernandez  </t>
  </si>
  <si>
    <t xml:space="preserve">Emily Wilson  </t>
  </si>
  <si>
    <t xml:space="preserve">Edward Jackson  </t>
  </si>
  <si>
    <t xml:space="preserve">Robert Gonzalez  </t>
  </si>
  <si>
    <t xml:space="preserve">Charles Lewis  </t>
  </si>
  <si>
    <t xml:space="preserve">Mary Jones  </t>
  </si>
  <si>
    <t>Ronald Jackson</t>
  </si>
  <si>
    <t>Carol Jones</t>
  </si>
  <si>
    <t>Amanda Harris</t>
  </si>
  <si>
    <t>Anthony Williams</t>
  </si>
  <si>
    <t>Kenneth Taylor</t>
  </si>
  <si>
    <t>Brian White</t>
  </si>
  <si>
    <t>Barbara Robinson</t>
  </si>
  <si>
    <t>Daniel Williams</t>
  </si>
  <si>
    <t>Thomas Clark</t>
  </si>
  <si>
    <t>Non-Stick Frying Pan</t>
  </si>
  <si>
    <t>Perfume 50Ml</t>
  </si>
  <si>
    <t>Shampoo 500Ml</t>
  </si>
  <si>
    <t>Usb-C Charger</t>
  </si>
  <si>
    <t>Webcam Hd</t>
  </si>
  <si>
    <t>Sunscreen Spf50</t>
  </si>
  <si>
    <t>Wireless Mouse</t>
  </si>
  <si>
    <t xml:space="preserve">Customer Name </t>
  </si>
  <si>
    <t>Row Labels</t>
  </si>
  <si>
    <t>Grand Total</t>
  </si>
  <si>
    <t>Sum of Total Sales</t>
  </si>
  <si>
    <t>Count of Order Status</t>
  </si>
  <si>
    <t>Issue</t>
  </si>
  <si>
    <t>Column(s) Affected</t>
  </si>
  <si>
    <t>Records Affected (Before)</t>
  </si>
  <si>
    <t>Action Taken</t>
  </si>
  <si>
    <t>Notes</t>
  </si>
  <si>
    <t>Inconsistent text casing (Region, Sales Channel, Payment Method, Order Status)</t>
  </si>
  <si>
    <t>Region, Sales Channel, Payment Method, Order Status</t>
  </si>
  <si>
    <t>Standardized all entries to Proper Case (e.g. ‘north’, ‘NORTH’ → ‘North’) using the PROPER() formula in a helper column, then pasted results back as values.</t>
  </si>
  <si>
    <t>Applied the same method across all four columns; deleted helper column once done.</t>
  </si>
  <si>
    <t>Extra spaces in Customer Name</t>
  </si>
  <si>
    <t>Removed leading, trailing, and double spaces using the TRIM() formula in a helper column, then pasted results back as values.</t>
  </si>
  <si>
    <t>Deleted helper column after pasting values.</t>
  </si>
  <si>
    <t>Inconsistent date formats</t>
  </si>
  <si>
    <t>Reviewed each date manually where format was ambiguous, then reformatted all entries to a single standard format (YYYY-MM-DD) using Format &gt; Number &gt; Date.</t>
  </si>
  <si>
    <t>Cross-checked ambiguous dates (e.g. 05-08-2026) by confirming day values could not exceed 12 before converting.</t>
  </si>
  <si>
    <t>Missing Quantity values</t>
  </si>
  <si>
    <t>Recovered values where possible using Quantity = Total Sales / (Unit Price × (1 − Discount%)); left blank where Total Sales was also missing.</t>
  </si>
  <si>
    <t>Rows left blank were flagged rather than estimated, to avoid distorting later forecasts.</t>
  </si>
  <si>
    <t>Missing Total Sales values</t>
  </si>
  <si>
    <t>Recalculated using Total Sales = Quantity × Unit Price × (1 − Discount%) wherever Quantity and Unit Price were available.</t>
  </si>
  <si>
    <t>No values were left blank for this column since Quantity and Unit Price were available for all affected rows.</t>
  </si>
  <si>
    <t>Missing Discount % values</t>
  </si>
  <si>
    <t>Left blank rather than assuming a 0% discount, since assuming no discount could understate true revenue reductions.</t>
  </si>
  <si>
    <t>Flagged for follow-up with the sales team if discount data is business-critical.</t>
  </si>
  <si>
    <t>Duplicate records</t>
  </si>
  <si>
    <t>All columns</t>
  </si>
  <si>
    <t>Used Data &gt; Data cleanup &gt; Remove duplicates across all columns to identify and remove exact duplicate rows.</t>
  </si>
  <si>
    <t>Verified the removed row count matched the expected number of duplicates before finalizing.</t>
  </si>
  <si>
    <t>Inconsistent Product / Category spelling</t>
  </si>
  <si>
    <t>Product, Product Category</t>
  </si>
  <si>
    <t>Corrected lowercase and inconsistent entries (e.g. ‘canvas backpack’ → ‘Canvas Backpack’) to match the standard product list using Find &amp; Replace and manual review.</t>
  </si>
  <si>
    <t>Added a dropdown list via Data Validation on Product Category to prevent future inconsistency.</t>
  </si>
  <si>
    <t xml:space="preserve">Kevin Brown  </t>
  </si>
  <si>
    <t>Month</t>
  </si>
  <si>
    <t>2026-05</t>
  </si>
  <si>
    <t>2025-10</t>
  </si>
  <si>
    <t>2026-01</t>
  </si>
  <si>
    <t>2026-03</t>
  </si>
  <si>
    <t>2025-11</t>
  </si>
  <si>
    <t>2026-02</t>
  </si>
  <si>
    <t>2026-04</t>
  </si>
  <si>
    <t>2026-06</t>
  </si>
  <si>
    <t>2026-08</t>
  </si>
  <si>
    <t>2026-07</t>
  </si>
  <si>
    <t>2025-12</t>
  </si>
  <si>
    <t>2026-12</t>
  </si>
  <si>
    <t>2026-11</t>
  </si>
  <si>
    <t xml:space="preserve">Count of Order </t>
  </si>
  <si>
    <t xml:space="preserve"> Total Sales</t>
  </si>
  <si>
    <t>Sales Summary by Region</t>
  </si>
  <si>
    <t>Sales Summary by Product Category</t>
  </si>
  <si>
    <t>Average of Discount (%)</t>
  </si>
  <si>
    <t>Sales Summary by Channel</t>
  </si>
  <si>
    <t>2026-09</t>
  </si>
  <si>
    <t>2026-10</t>
  </si>
  <si>
    <t>Actual Total Sale</t>
  </si>
  <si>
    <t>Forecast</t>
  </si>
  <si>
    <t>Monthly Sale Trend &amp; 3 Month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</si>
</sst>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8"/>
      <name val="Calibri"/>
      <family val="2"/>
      <charset val="1"/>
    </font>
    <font>
      <sz val="12"/>
      <color theme="1"/>
      <name val="Arial"/>
      <family val="2"/>
    </font>
    <font>
      <sz val="14"/>
      <color theme="1"/>
      <name val="Calibri"/>
      <family val="2"/>
      <charset val="1"/>
    </font>
    <font>
      <i/>
      <sz val="12"/>
      <color theme="8" tint="-0.249977111117893"/>
      <name val="Arial"/>
      <family val="2"/>
    </font>
    <font>
      <b/>
      <i/>
      <sz val="14"/>
      <color theme="1"/>
      <name val="Arial"/>
      <family val="2"/>
    </font>
    <font>
      <i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0" fontId="9" fillId="0" borderId="0" xfId="0" applyFont="1"/>
    <xf numFmtId="2" fontId="9" fillId="0" borderId="0" xfId="0" applyNumberFormat="1" applyFont="1"/>
    <xf numFmtId="0" fontId="9" fillId="0" borderId="0" xfId="0" pivotButton="1" applyFont="1"/>
    <xf numFmtId="0" fontId="9" fillId="0" borderId="0" xfId="0" applyFont="1" applyAlignment="1">
      <alignment horizontal="left"/>
    </xf>
    <xf numFmtId="1" fontId="9" fillId="0" borderId="0" xfId="0" applyNumberFormat="1" applyFont="1"/>
    <xf numFmtId="0" fontId="11" fillId="0" borderId="0" xfId="0" applyFont="1"/>
    <xf numFmtId="2" fontId="11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3" borderId="0" xfId="0" applyFont="1" applyFill="1" applyAlignment="1">
      <alignment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numFmt numFmtId="1" formatCode="0"/>
    </dxf>
    <dxf>
      <numFmt numFmtId="2" formatCode="0.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numFmt numFmtId="1" formatCode="0"/>
    </dxf>
    <dxf>
      <numFmt numFmtId="2" formatCode="0.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numFmt numFmtId="2" formatCode="0.0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Record (Oct 2025 - Sept 2026) - Oyindamola Adeyemo.xlsx]Pivot -Region!PivotTable1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Arial" panose="020B0604020202020204" pitchFamily="34" charset="0"/>
                <a:cs typeface="Arial" panose="020B0604020202020204" pitchFamily="34" charset="0"/>
              </a:rPr>
              <a:t>Total Sales by</a:t>
            </a:r>
            <a:r>
              <a:rPr lang="en-US" sz="1600" b="1" baseline="0">
                <a:latin typeface="Arial" panose="020B0604020202020204" pitchFamily="34" charset="0"/>
                <a:cs typeface="Arial" panose="020B0604020202020204" pitchFamily="34" charset="0"/>
              </a:rPr>
              <a:t> Region</a:t>
            </a:r>
            <a:endParaRPr lang="en-US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358678915135608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-Region'!$B$3</c:f>
              <c:strCache>
                <c:ptCount val="1"/>
                <c:pt idx="0">
                  <c:v>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 </c:v>
                </c:pt>
              </c:strCache>
            </c:strRef>
          </c:cat>
          <c:val>
            <c:numRef>
              <c:f>'Pivot -Region'!$B$4:$B$9</c:f>
              <c:numCache>
                <c:formatCode>0.00</c:formatCode>
                <c:ptCount val="5"/>
                <c:pt idx="0">
                  <c:v>21339.742500000008</c:v>
                </c:pt>
                <c:pt idx="1">
                  <c:v>13635.350000000004</c:v>
                </c:pt>
                <c:pt idx="2">
                  <c:v>11830.189999999999</c:v>
                </c:pt>
                <c:pt idx="3">
                  <c:v>15547.089999999998</c:v>
                </c:pt>
                <c:pt idx="4">
                  <c:v>17907.019999999993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1-49B6-A617-79BD0FB85CEB}"/>
            </c:ext>
          </c:extLst>
        </c:ser>
        <c:ser>
          <c:idx val="1"/>
          <c:order val="1"/>
          <c:tx>
            <c:strRef>
              <c:f>'Pivot -Region'!$C$3</c:f>
              <c:strCache>
                <c:ptCount val="1"/>
                <c:pt idx="0">
                  <c:v>Count of Order Status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-Region'!$A$4:$A$9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 </c:v>
                </c:pt>
              </c:strCache>
            </c:strRef>
          </c:cat>
          <c:val>
            <c:numRef>
              <c:f>'Pivot -Region'!$C$4:$C$9</c:f>
              <c:numCache>
                <c:formatCode>General</c:formatCode>
                <c:ptCount val="5"/>
                <c:pt idx="0">
                  <c:v>31</c:v>
                </c:pt>
                <c:pt idx="1">
                  <c:v>24</c:v>
                </c:pt>
                <c:pt idx="2">
                  <c:v>24</c:v>
                </c:pt>
                <c:pt idx="3">
                  <c:v>28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F1-49B6-A617-79BD0FB85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100"/>
        <c:axId val="807484208"/>
        <c:axId val="743024416"/>
      </c:barChart>
      <c:catAx>
        <c:axId val="80748420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24416"/>
        <c:crosses val="autoZero"/>
        <c:auto val="1"/>
        <c:lblAlgn val="ctr"/>
        <c:lblOffset val="100"/>
        <c:noMultiLvlLbl val="0"/>
      </c:catAx>
      <c:valAx>
        <c:axId val="74302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48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Record (Oct 2025 - Sept 2026) - Oyindamola Adeyemo.xlsx]Pivot -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Total Sales by Product Category</a:t>
            </a:r>
          </a:p>
        </c:rich>
      </c:tx>
      <c:layout>
        <c:manualLayout>
          <c:xMode val="edge"/>
          <c:yMode val="edge"/>
          <c:x val="0.2257273512820761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Category'!$B$3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Category'!$A$4:$A$9</c:f>
              <c:strCache>
                <c:ptCount val="5"/>
                <c:pt idx="0">
                  <c:v>Beauty &amp; Personal Care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Office Supplies</c:v>
                </c:pt>
              </c:strCache>
            </c:strRef>
          </c:cat>
          <c:val>
            <c:numRef>
              <c:f>'Pivot - Category'!$B$4:$B$9</c:f>
              <c:numCache>
                <c:formatCode>0.00</c:formatCode>
                <c:ptCount val="5"/>
                <c:pt idx="0">
                  <c:v>20300.339999999997</c:v>
                </c:pt>
                <c:pt idx="1">
                  <c:v>9327.630000000001</c:v>
                </c:pt>
                <c:pt idx="2">
                  <c:v>22094.569999999996</c:v>
                </c:pt>
                <c:pt idx="3">
                  <c:v>11349.22</c:v>
                </c:pt>
                <c:pt idx="4">
                  <c:v>17187.6325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5-4BCD-9F36-583589ECDCE6}"/>
            </c:ext>
          </c:extLst>
        </c:ser>
        <c:ser>
          <c:idx val="1"/>
          <c:order val="1"/>
          <c:tx>
            <c:strRef>
              <c:f>'Pivot - Category'!$C$3</c:f>
              <c:strCache>
                <c:ptCount val="1"/>
                <c:pt idx="0">
                  <c:v>Count of Order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- Category'!$A$4:$A$9</c:f>
              <c:strCache>
                <c:ptCount val="5"/>
                <c:pt idx="0">
                  <c:v>Beauty &amp; Personal Care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Office Supplies</c:v>
                </c:pt>
              </c:strCache>
            </c:strRef>
          </c:cat>
          <c:val>
            <c:numRef>
              <c:f>'Pivot - Category'!$C$4:$C$9</c:f>
              <c:numCache>
                <c:formatCode>0</c:formatCode>
                <c:ptCount val="5"/>
                <c:pt idx="0">
                  <c:v>30</c:v>
                </c:pt>
                <c:pt idx="1">
                  <c:v>24</c:v>
                </c:pt>
                <c:pt idx="2">
                  <c:v>32</c:v>
                </c:pt>
                <c:pt idx="3">
                  <c:v>23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B5-4BCD-9F36-583589ECD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100"/>
        <c:axId val="807491632"/>
        <c:axId val="743094976"/>
      </c:barChart>
      <c:catAx>
        <c:axId val="80749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94976"/>
        <c:crosses val="autoZero"/>
        <c:auto val="1"/>
        <c:lblAlgn val="ctr"/>
        <c:lblOffset val="100"/>
        <c:noMultiLvlLbl val="0"/>
      </c:catAx>
      <c:valAx>
        <c:axId val="7430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49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Record (Oct 2025 - Sept 2026) - Oyindamola Adeyemo.xlsx]Pivot - Channel!PivotTable3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Sales by Channel 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Channel'!$B$3</c:f>
              <c:strCache>
                <c:ptCount val="1"/>
                <c:pt idx="0">
                  <c:v>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Channel'!$A$4:$A$6</c:f>
              <c:strCache>
                <c:ptCount val="2"/>
                <c:pt idx="0">
                  <c:v>In Store</c:v>
                </c:pt>
                <c:pt idx="1">
                  <c:v>Online</c:v>
                </c:pt>
              </c:strCache>
            </c:strRef>
          </c:cat>
          <c:val>
            <c:numRef>
              <c:f>'Pivot - Channel'!$B$4:$B$6</c:f>
              <c:numCache>
                <c:formatCode>0.00</c:formatCode>
                <c:ptCount val="2"/>
                <c:pt idx="0">
                  <c:v>46867.642500000016</c:v>
                </c:pt>
                <c:pt idx="1">
                  <c:v>33391.75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F-40A8-AB73-06B1EDB43CCA}"/>
            </c:ext>
          </c:extLst>
        </c:ser>
        <c:ser>
          <c:idx val="1"/>
          <c:order val="1"/>
          <c:tx>
            <c:strRef>
              <c:f>'Pivot - Channel'!$C$3</c:f>
              <c:strCache>
                <c:ptCount val="1"/>
                <c:pt idx="0">
                  <c:v>Average of Discount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- Channel'!$A$4:$A$6</c:f>
              <c:strCache>
                <c:ptCount val="2"/>
                <c:pt idx="0">
                  <c:v>In Store</c:v>
                </c:pt>
                <c:pt idx="1">
                  <c:v>Online</c:v>
                </c:pt>
              </c:strCache>
            </c:strRef>
          </c:cat>
          <c:val>
            <c:numRef>
              <c:f>'Pivot - Channel'!$C$4:$C$6</c:f>
              <c:numCache>
                <c:formatCode>0.00</c:formatCode>
                <c:ptCount val="2"/>
                <c:pt idx="0">
                  <c:v>6.8395061728395063</c:v>
                </c:pt>
                <c:pt idx="1">
                  <c:v>7.3220338983050848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F-40A8-AB73-06B1EDB43CCA}"/>
            </c:ext>
          </c:extLst>
        </c:ser>
        <c:ser>
          <c:idx val="2"/>
          <c:order val="2"/>
          <c:tx>
            <c:strRef>
              <c:f>'Pivot - Channel'!$D$3</c:f>
              <c:strCache>
                <c:ptCount val="1"/>
                <c:pt idx="0">
                  <c:v>Count of Order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- Channel'!$A$4:$A$6</c:f>
              <c:strCache>
                <c:ptCount val="2"/>
                <c:pt idx="0">
                  <c:v>In Store</c:v>
                </c:pt>
                <c:pt idx="1">
                  <c:v>Online</c:v>
                </c:pt>
              </c:strCache>
            </c:strRef>
          </c:cat>
          <c:val>
            <c:numRef>
              <c:f>'Pivot - Channel'!$D$4:$D$6</c:f>
              <c:numCache>
                <c:formatCode>0</c:formatCode>
                <c:ptCount val="2"/>
                <c:pt idx="0">
                  <c:v>81</c:v>
                </c:pt>
                <c:pt idx="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1F-40A8-AB73-06B1EDB43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32"/>
        <c:axId val="822821360"/>
        <c:axId val="556392768"/>
      </c:barChart>
      <c:catAx>
        <c:axId val="82282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6392768"/>
        <c:crosses val="autoZero"/>
        <c:auto val="1"/>
        <c:lblAlgn val="ctr"/>
        <c:lblOffset val="100"/>
        <c:noMultiLvlLbl val="0"/>
      </c:catAx>
      <c:valAx>
        <c:axId val="5563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82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0031778285778798"/>
          <c:y val="0.54218722659667551"/>
          <c:w val="0.1361692960422958"/>
          <c:h val="7.67050823192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Monthly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Sales</a:t>
            </a: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 Trend &amp; 3 Month Forecast 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7236111111111108"/>
          <c:y val="2.3346303501945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 &amp; Forecast '!$B$3</c:f>
              <c:strCache>
                <c:ptCount val="1"/>
                <c:pt idx="0">
                  <c:v>Actual Total Sale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Trend &amp; Forecast '!$A$4:$A$17</c:f>
              <c:strCache>
                <c:ptCount val="14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  <c:pt idx="13">
                  <c:v>2026-11</c:v>
                </c:pt>
              </c:strCache>
            </c:strRef>
          </c:cat>
          <c:val>
            <c:numRef>
              <c:f>'Monthly Trend &amp; Forecast '!$B$4:$B$17</c:f>
              <c:numCache>
                <c:formatCode>General</c:formatCode>
                <c:ptCount val="14"/>
                <c:pt idx="0">
                  <c:v>3867.85</c:v>
                </c:pt>
                <c:pt idx="1">
                  <c:v>9849.93</c:v>
                </c:pt>
                <c:pt idx="2">
                  <c:v>2481.89</c:v>
                </c:pt>
                <c:pt idx="3">
                  <c:v>6800.2</c:v>
                </c:pt>
                <c:pt idx="4">
                  <c:v>9346.98</c:v>
                </c:pt>
                <c:pt idx="5">
                  <c:v>4589.3899999999994</c:v>
                </c:pt>
                <c:pt idx="6">
                  <c:v>12411.48</c:v>
                </c:pt>
                <c:pt idx="7">
                  <c:v>6856.95</c:v>
                </c:pt>
                <c:pt idx="8">
                  <c:v>4111.32</c:v>
                </c:pt>
                <c:pt idx="9">
                  <c:v>5869.2624999999998</c:v>
                </c:pt>
                <c:pt idx="10">
                  <c:v>11612.79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23-4547-AC2F-020D268D70F2}"/>
            </c:ext>
          </c:extLst>
        </c:ser>
        <c:ser>
          <c:idx val="1"/>
          <c:order val="1"/>
          <c:tx>
            <c:strRef>
              <c:f>'Monthly Trend &amp; Forecast '!$C$3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Trend &amp; Forecast '!$A$4:$A$17</c:f>
              <c:strCache>
                <c:ptCount val="14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  <c:pt idx="13">
                  <c:v>2026-11</c:v>
                </c:pt>
              </c:strCache>
            </c:strRef>
          </c:cat>
          <c:val>
            <c:numRef>
              <c:f>'Monthly Trend &amp; Forecast '!$C$4:$C$17</c:f>
              <c:numCache>
                <c:formatCode>General</c:formatCode>
                <c:ptCount val="14"/>
                <c:pt idx="11" formatCode="0.00">
                  <c:v>8756.2758636363651</c:v>
                </c:pt>
                <c:pt idx="12" formatCode="0.00">
                  <c:v>9036.8969545454547</c:v>
                </c:pt>
                <c:pt idx="13" formatCode="0.00">
                  <c:v>9317.5180454545462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3-4547-AC2F-020D268D7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42063"/>
        <c:axId val="452690239"/>
      </c:lineChart>
      <c:catAx>
        <c:axId val="55774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51549868766404194"/>
              <c:y val="0.827334170777290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90239"/>
        <c:crosses val="autoZero"/>
        <c:auto val="1"/>
        <c:lblAlgn val="ctr"/>
        <c:lblOffset val="100"/>
        <c:noMultiLvlLbl val="0"/>
      </c:catAx>
      <c:valAx>
        <c:axId val="45269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latin typeface="Arial" panose="020B0604020202020204" pitchFamily="34" charset="0"/>
                    <a:cs typeface="Arial" panose="020B0604020202020204" pitchFamily="34" charset="0"/>
                  </a:rPr>
                  <a:t>Actual Total</a:t>
                </a:r>
                <a:r>
                  <a:rPr lang="en-US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Sale</a:t>
                </a:r>
                <a:endParaRPr lang="en-US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4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2</xdr:row>
      <xdr:rowOff>31750</xdr:rowOff>
    </xdr:from>
    <xdr:to>
      <xdr:col>11</xdr:col>
      <xdr:colOff>419100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CAB4E-8F91-67B7-F0D6-5F78A0CE8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1</xdr:row>
      <xdr:rowOff>0</xdr:rowOff>
    </xdr:from>
    <xdr:to>
      <xdr:col>12</xdr:col>
      <xdr:colOff>361950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12C4D7-1A44-0C4E-6C40-776D8CF1E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558800</xdr:colOff>
      <xdr:row>3</xdr:row>
      <xdr:rowOff>0</xdr:rowOff>
    </xdr:from>
    <xdr:to>
      <xdr:col>13</xdr:col>
      <xdr:colOff>387350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2130CD-19EF-692B-BC6F-8AC8C39F3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73024</xdr:colOff>
      <xdr:row>1</xdr:row>
      <xdr:rowOff>107950</xdr:rowOff>
    </xdr:from>
    <xdr:to>
      <xdr:col>14</xdr:col>
      <xdr:colOff>146049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1BC02-E37E-0FB4-24A0-95960D53B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279.690915740743" createdVersion="8" refreshedVersion="8" minRefreshableVersion="3" recordCount="140" xr:uid="{BD37FE4B-DE33-4DB2-B370-F6F9ECF9E3C3}">
  <cacheSource type="worksheet">
    <worksheetSource ref="A1:Q141" sheet="Retail Sales Record "/>
  </cacheSource>
  <cacheFields count="19">
    <cacheField name="Order ID" numFmtId="0">
      <sharedItems/>
    </cacheField>
    <cacheField name="Order Date" numFmtId="164">
      <sharedItems containsSemiMixedTypes="0" containsNonDate="0" containsDate="1" containsString="0" minDate="2025-10-01T00:00:00" maxDate="2026-12-02T00:00:00" count="115">
        <d v="2026-05-08T00:00:00"/>
        <d v="2025-10-23T00:00:00"/>
        <d v="2026-01-16T00:00:00"/>
        <d v="2026-03-11T00:00:00"/>
        <d v="2025-11-26T00:00:00"/>
        <d v="2026-02-12T00:00:00"/>
        <d v="2026-03-07T00:00:00"/>
        <d v="2026-01-11T00:00:00"/>
        <d v="2025-11-06T00:00:00"/>
        <d v="2026-04-25T00:00:00"/>
        <d v="2026-04-24T00:00:00"/>
        <d v="2026-06-15T00:00:00"/>
        <d v="2026-01-31T00:00:00"/>
        <d v="2026-08-31T00:00:00"/>
        <d v="2025-10-02T00:00:00"/>
        <d v="2025-10-21T00:00:00"/>
        <d v="2026-02-05T00:00:00"/>
        <d v="2026-08-25T00:00:00"/>
        <d v="2026-07-03T00:00:00"/>
        <d v="2025-12-29T00:00:00"/>
        <d v="2026-03-08T00:00:00"/>
        <d v="2026-05-06T00:00:00"/>
        <d v="2026-06-01T00:00:00"/>
        <d v="2026-01-05T00:00:00"/>
        <d v="2026-04-18T00:00:00"/>
        <d v="2026-04-13T00:00:00"/>
        <d v="2026-01-20T00:00:00"/>
        <d v="2025-11-22T00:00:00"/>
        <d v="2026-08-30T00:00:00"/>
        <d v="2026-06-07T00:00:00"/>
        <d v="2026-03-06T00:00:00"/>
        <d v="2026-07-29T00:00:00"/>
        <d v="2026-02-06T00:00:00"/>
        <d v="2026-05-21T00:00:00"/>
        <d v="2026-01-01T00:00:00"/>
        <d v="2025-10-01T00:00:00"/>
        <d v="2026-04-27T00:00:00"/>
        <d v="2025-12-09T00:00:00"/>
        <d v="2025-12-13T00:00:00"/>
        <d v="2025-11-20T00:00:00"/>
        <d v="2026-04-02T00:00:00"/>
        <d v="2026-08-14T00:00:00"/>
        <d v="2026-06-14T00:00:00"/>
        <d v="2026-07-27T00:00:00"/>
        <d v="2025-11-19T00:00:00"/>
        <d v="2026-01-19T00:00:00"/>
        <d v="2025-11-11T00:00:00"/>
        <d v="2025-11-18T00:00:00"/>
        <d v="2026-05-05T00:00:00"/>
        <d v="2026-08-11T00:00:00"/>
        <d v="2026-07-14T00:00:00"/>
        <d v="2026-04-04T00:00:00"/>
        <d v="2026-08-27T00:00:00"/>
        <d v="2026-03-05T00:00:00"/>
        <d v="2026-03-14T00:00:00"/>
        <d v="2025-10-27T00:00:00"/>
        <d v="2025-12-05T00:00:00"/>
        <d v="2026-08-02T00:00:00"/>
        <d v="2026-07-20T00:00:00"/>
        <d v="2026-06-20T00:00:00"/>
        <d v="2026-05-18T00:00:00"/>
        <d v="2026-02-01T00:00:00"/>
        <d v="2026-04-10T00:00:00"/>
        <d v="2026-12-01T00:00:00"/>
        <d v="2026-04-16T00:00:00"/>
        <d v="2026-05-16T00:00:00"/>
        <d v="2026-04-06T00:00:00"/>
        <d v="2026-07-15T00:00:00"/>
        <d v="2026-02-26T00:00:00"/>
        <d v="2026-04-28T00:00:00"/>
        <d v="2026-01-24T00:00:00"/>
        <d v="2025-10-15T00:00:00"/>
        <d v="2026-05-14T00:00:00"/>
        <d v="2026-04-15T00:00:00"/>
        <d v="2026-11-06T00:00:00"/>
        <d v="2026-08-09T00:00:00"/>
        <d v="2026-08-10T00:00:00"/>
        <d v="2025-10-14T00:00:00"/>
        <d v="2026-04-30T00:00:00"/>
        <d v="2026-08-26T00:00:00"/>
        <d v="2026-04-21T00:00:00"/>
        <d v="2026-08-23T00:00:00"/>
        <d v="2026-07-01T00:00:00"/>
        <d v="2026-02-17T00:00:00"/>
        <d v="2025-11-12T00:00:00"/>
        <d v="2026-03-09T00:00:00"/>
        <d v="2026-07-16T00:00:00"/>
        <d v="2025-10-30T00:00:00"/>
        <d v="2026-05-26T00:00:00"/>
        <d v="2026-02-03T00:00:00"/>
        <d v="2026-07-30T00:00:00"/>
        <d v="2026-05-02T00:00:00"/>
        <d v="2025-10-08T00:00:00"/>
        <d v="2026-03-13T00:00:00"/>
        <d v="2026-02-09T00:00:00"/>
        <d v="2026-05-22T00:00:00"/>
        <d v="2026-06-13T00:00:00"/>
        <d v="2026-04-22T00:00:00"/>
        <d v="2026-08-21T00:00:00"/>
        <d v="2025-11-05T00:00:00"/>
        <d v="2025-11-13T00:00:00"/>
        <d v="2025-11-28T00:00:00"/>
        <d v="2026-05-19T00:00:00"/>
        <d v="2026-03-28T00:00:00"/>
        <d v="2026-07-17T00:00:00"/>
        <d v="2026-07-19T00:00:00"/>
        <d v="2026-04-20T00:00:00"/>
        <d v="2026-01-18T00:00:00"/>
        <d v="2025-12-08T00:00:00"/>
        <d v="2026-02-04T00:00:00"/>
        <d v="2026-02-15T00:00:00"/>
        <d v="2025-11-29T00:00:00"/>
        <d v="2026-01-09T00:00:00"/>
        <d v="2026-02-21T00:00:00"/>
        <d v="2025-11-01T00:00:00"/>
      </sharedItems>
      <fieldGroup par="18"/>
    </cacheField>
    <cacheField name="Customer Name " numFmtId="0">
      <sharedItems count="136">
        <s v="  Kevin Brown  "/>
        <s v="Ronald Sanchez"/>
        <s v="Richard Thompson  "/>
        <s v="Sarah Robinson"/>
        <s v="Deborah Moore"/>
        <s v="Emily Ramirez"/>
        <s v="Lisa Harris"/>
        <s v="Ronald Moore"/>
        <s v="John Hernandez  "/>
        <s v="Mark Miller"/>
        <s v="John Anderson"/>
        <s v="Emily Perez"/>
        <s v="Linda Lewis"/>
        <s v="Michael Williams"/>
        <s v="Charles Martin"/>
        <s v="John Lewis"/>
        <s v="Jessica Ramirez"/>
        <s v="Sandra Lopez"/>
        <s v="Matthew White"/>
        <s v="Edward Lewis"/>
        <s v="Sandra Anderson"/>
        <s v="Kevin Jackson"/>
        <s v="David Sanchez"/>
        <s v="Donald Williams"/>
        <s v="Ronald Jackson"/>
        <s v="Joshua Perez  "/>
        <s v="Matthew Davis"/>
        <s v="Karen Brown"/>
        <s v="Paul Lee"/>
        <s v="Jessica Clark"/>
        <s v="Richard Williams"/>
        <s v="Sarah Martinez"/>
        <s v="Patricia Moore"/>
        <s v="Jennifer Davis"/>
        <s v="William Davis"/>
        <s v="Joseph Lee"/>
        <s v="William Hernandez"/>
        <s v="Patricia Miller"/>
        <s v="Charles Taylor"/>
        <s v="Donna Perez"/>
        <s v="Carol Jones"/>
        <s v="Amanda Ramirez"/>
        <s v="Margaret Jones"/>
        <s v="Donald Lopez"/>
        <s v="Amanda Harris"/>
        <s v="Donald Johnson"/>
        <s v="Elizabeth Harris"/>
        <s v="Emily Hernandez"/>
        <s v="Edward Jones"/>
        <s v="Jennifer Perez"/>
        <s v="Mary Jones  "/>
        <s v="Brian Taylor"/>
        <s v="Kimberly Martinez"/>
        <s v="Jennifer Williams"/>
        <s v="Joseph Ramirez"/>
        <s v="Nancy Lopez  "/>
        <s v="Ronald Martin  "/>
        <s v="Susan Harris"/>
        <s v="Margaret Jackson"/>
        <s v="Karen White"/>
        <s v="John Garcia"/>
        <s v="Charles Williams"/>
        <s v="Robert Davis"/>
        <s v="Kenneth Ramirez"/>
        <s v="Stephanie Thomas"/>
        <s v="Jessica Anderson"/>
        <s v="Kenneth Jones"/>
        <s v="Anthony Williams"/>
        <s v="Stephanie Martinez"/>
        <s v="Jennifer Taylor"/>
        <s v="David Johnson"/>
        <s v="Ronald Lee"/>
        <s v="Margaret Williams"/>
        <s v="Patricia Williams"/>
        <s v="Ronald Williams"/>
        <s v="Ashley Miller"/>
        <s v="Ashley Smith"/>
        <s v="Stephanie Moore"/>
        <s v="Andrew Williams"/>
        <s v="Michelle Lee  "/>
        <s v="Matthew Gonzalez"/>
        <s v="Ashley Taylor"/>
        <s v="Robert Gonzalez  "/>
        <s v="Kenneth Taylor"/>
        <s v="Andrew Thomas"/>
        <s v="Steven Garcia"/>
        <s v="Susan Moore"/>
        <s v="Karen Harris"/>
        <s v="Carol Rodriguez"/>
        <s v="William Wilson"/>
        <s v="Charles Lewis  "/>
        <s v="Deborah Hernandez"/>
        <s v="Edward Jackson  "/>
        <s v="Kenneth Lopez"/>
        <s v="Kimberly Anderson"/>
        <s v="Margaret Lopez"/>
        <s v="Andrew Jones"/>
        <s v="Edward Harris"/>
        <s v="Joshua Hernandez"/>
        <s v="Mark Jones"/>
        <s v="Edward Clark"/>
        <s v="Donna Jackson"/>
        <s v="Andrew Lee"/>
        <s v="Emily Wilson  "/>
        <s v="Joshua Davis"/>
        <s v="Sarah Johnson"/>
        <s v="Deborah Jones"/>
        <s v="Anthony Wilson"/>
        <s v="David Williams"/>
        <s v="Amanda Gonzalez"/>
        <s v="Nancy Anderson"/>
        <s v="Linda Robinson"/>
        <s v="Donald Martin"/>
        <s v="Ronald Hernandez"/>
        <s v="Andrew Garcia"/>
        <s v="Linda Davis"/>
        <s v="James Thomas"/>
        <s v="Emily Taylor"/>
        <s v="Jessica Miller"/>
        <s v="Paul Lewis"/>
        <s v="Stephanie Williams"/>
        <s v="Emily Jackson"/>
        <s v="Carol Lopez"/>
        <s v="Margaret Thompson"/>
        <s v="Elizabeth Robinson"/>
        <s v="George Smith"/>
        <s v="David Gonzalez"/>
        <s v="Andrew Martin"/>
        <s v="Brian White"/>
        <s v="Kevin Williams"/>
        <s v="Barbara Robinson"/>
        <s v="Daniel Williams"/>
        <s v="James Hernandez  "/>
        <s v="Jennifer Jackson"/>
        <s v="Sandra Hernandez"/>
        <s v="Thomas Clark"/>
      </sharedItems>
    </cacheField>
    <cacheField name="Region" numFmtId="0">
      <sharedItems count="5">
        <s v="South"/>
        <s v="East"/>
        <s v="West "/>
        <s v="North"/>
        <s v="Central"/>
      </sharedItems>
    </cacheField>
    <cacheField name="City" numFmtId="0">
      <sharedItems/>
    </cacheField>
    <cacheField name="Product Category" numFmtId="0">
      <sharedItems count="5">
        <s v="Electronics"/>
        <s v="Home &amp; Kitchen"/>
        <s v="Fashion"/>
        <s v="Beauty &amp; Personal Care"/>
        <s v="Office Supplies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minValue="8.84" maxValue="249.9"/>
    </cacheField>
    <cacheField name="Discount (%)" numFmtId="0">
      <sharedItems containsSemiMixedTypes="0" containsString="0" containsNumber="1" minValue="0" maxValue="20"/>
    </cacheField>
    <cacheField name="Total Sales" numFmtId="0">
      <sharedItems containsSemiMixedTypes="0" containsString="0" containsNumber="1" minValue="18.18" maxValue="1888.24" count="140">
        <n v="89.53"/>
        <n v="200.9"/>
        <n v="1285.92"/>
        <n v="494.2"/>
        <n v="389.49"/>
        <n v="348.48"/>
        <n v="465.26"/>
        <n v="1688.89"/>
        <n v="61.09"/>
        <n v="169.97"/>
        <n v="183"/>
        <n v="188.25"/>
        <n v="1404"/>
        <n v="337.08"/>
        <n v="27.61"/>
        <n v="45.75"/>
        <n v="1180.08"/>
        <n v="1083.8499999999999"/>
        <n v="151.85249999999999"/>
        <n v="432.04"/>
        <n v="167.28"/>
        <n v="223.7"/>
        <n v="1459.43"/>
        <n v="395.36"/>
        <n v="498.48"/>
        <n v="341.16"/>
        <n v="190.32"/>
        <n v="94.48"/>
        <n v="1426.32"/>
        <n v="611.94000000000005"/>
        <n v="27.8"/>
        <n v="155.79"/>
        <n v="903.28"/>
        <n v="807.66"/>
        <n v="61.71"/>
        <n v="562.95000000000005"/>
        <n v="360.81"/>
        <n v="200.4"/>
        <n v="715.6"/>
        <n v="361.9"/>
        <n v="815.92"/>
        <n v="235.44"/>
        <n v="1246.8499999999999"/>
        <n v="1097.81"/>
        <n v="1498.49"/>
        <n v="614.91999999999996"/>
        <n v="593.1"/>
        <n v="232.84"/>
        <n v="236.83"/>
        <n v="454.52"/>
        <n v="87.24"/>
        <n v="560.16"/>
        <n v="250.24"/>
        <n v="425.52"/>
        <n v="1014.9"/>
        <n v="1484.42"/>
        <n v="27.48"/>
        <n v="289.05"/>
        <n v="109.95"/>
        <n v="603.96"/>
        <n v="907.8"/>
        <n v="251.88"/>
        <n v="115.18"/>
        <n v="499.6"/>
        <n v="161.69999999999999"/>
        <n v="167.17"/>
        <n v="1811.76"/>
        <n v="149.68"/>
        <n v="1404.32"/>
        <n v="1209.5999999999999"/>
        <n v="1532.79"/>
        <n v="360.86"/>
        <n v="1560.44"/>
        <n v="400.45"/>
        <n v="108.24"/>
        <n v="185.24"/>
        <n v="1011.72"/>
        <n v="1749.3"/>
        <n v="238.53"/>
        <n v="1268.52"/>
        <n v="545.09"/>
        <n v="575.75"/>
        <n v="230.84"/>
        <n v="1538.24"/>
        <n v="460.59"/>
        <n v="1001"/>
        <n v="103.48"/>
        <n v="833.04"/>
        <n v="377.55"/>
        <n v="257.60000000000002"/>
        <n v="227.44"/>
        <n v="1782.96"/>
        <n v="157.5"/>
        <n v="1211.6300000000001"/>
        <n v="267.5"/>
        <n v="116.09"/>
        <n v="580.20000000000005"/>
        <n v="838.12"/>
        <n v="114.38"/>
        <n v="425.28"/>
        <n v="607.26"/>
        <n v="489.8"/>
        <n v="953.36"/>
        <n v="509.32"/>
        <n v="86.6"/>
        <n v="1417.57"/>
        <n v="120"/>
        <n v="53.04"/>
        <n v="176.9"/>
        <n v="50.2"/>
        <n v="844.68"/>
        <n v="540.85"/>
        <n v="489.44"/>
        <n v="1888.24"/>
        <n v="1061.4000000000001"/>
        <n v="456.88"/>
        <n v="665.04"/>
        <n v="713.44"/>
        <n v="907.56"/>
        <n v="760.48"/>
        <n v="1252.8599999999999"/>
        <n v="1110.8800000000001"/>
        <n v="591.87"/>
        <n v="198.51"/>
        <n v="368.16"/>
        <n v="71.92"/>
        <n v="440.64"/>
        <n v="193"/>
        <n v="637.91"/>
        <n v="541.87"/>
        <n v="18.18"/>
        <n v="161.97999999999999"/>
        <n v="229.55"/>
        <n v="972.35"/>
        <n v="428.76"/>
        <n v="474.64"/>
        <n v="878.85"/>
        <n v="189.03"/>
        <n v="54.3"/>
        <n v="239.76"/>
      </sharedItems>
    </cacheField>
    <cacheField name="Shipping Cost" numFmtId="0">
      <sharedItems containsSemiMixedTypes="0" containsString="0" containsNumber="1" minValue="0" maxValue="24.96"/>
    </cacheField>
    <cacheField name="Sales Channel" numFmtId="0">
      <sharedItems count="3">
        <s v="Online"/>
        <s v="In Store"/>
        <s v="In-Store" u="1"/>
      </sharedItems>
    </cacheField>
    <cacheField name="Sales Rep" numFmtId="0">
      <sharedItems/>
    </cacheField>
    <cacheField name="Payment Method" numFmtId="0">
      <sharedItems count="5">
        <s v="Mobile Money"/>
        <s v="Bank Transfer"/>
        <s v="Debit Card"/>
        <s v="Credit Card"/>
        <s v="Cash"/>
      </sharedItems>
    </cacheField>
    <cacheField name="Order Status" numFmtId="0">
      <sharedItems count="5">
        <s v="Delivered"/>
        <s v="Pending"/>
        <s v="Cancelled"/>
        <s v="Returned"/>
        <s v="Canceled" u="1"/>
      </sharedItems>
    </cacheField>
    <cacheField name="Months (Order Date)" numFmtId="0" databaseField="0">
      <fieldGroup base="1">
        <rangePr groupBy="months" startDate="2025-10-01T00:00:00" endDate="2026-12-02T00:00:00"/>
        <groupItems count="14">
          <s v="&lt;10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6"/>
        </groupItems>
      </fieldGroup>
    </cacheField>
    <cacheField name="Quarters (Order Date)" numFmtId="0" databaseField="0">
      <fieldGroup base="1">
        <rangePr groupBy="quarters" startDate="2025-10-01T00:00:00" endDate="2026-12-02T00:00:00"/>
        <groupItems count="6">
          <s v="&lt;10/1/2025"/>
          <s v="Qtr1"/>
          <s v="Qtr2"/>
          <s v="Qtr3"/>
          <s v="Qtr4"/>
          <s v="&gt;12/2/2026"/>
        </groupItems>
      </fieldGroup>
    </cacheField>
    <cacheField name="Years (Order Date)" numFmtId="0" databaseField="0">
      <fieldGroup base="1">
        <rangePr groupBy="years" startDate="2025-10-01T00:00:00" endDate="2026-12-02T00:00:00"/>
        <groupItems count="4">
          <s v="&lt;10/1/2025"/>
          <s v="2025"/>
          <s v="2026"/>
          <s v="&gt;12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ORD1001"/>
    <x v="0"/>
    <x v="0"/>
    <x v="0"/>
    <s v="Uyo"/>
    <x v="0"/>
    <s v="Wireless Keyboard"/>
    <n v="7"/>
    <n v="12.79"/>
    <n v="10"/>
    <x v="0"/>
    <n v="21.99"/>
    <x v="0"/>
    <s v="Grace Nwosu"/>
    <x v="0"/>
    <x v="0"/>
  </r>
  <r>
    <s v="ORD1002"/>
    <x v="1"/>
    <x v="1"/>
    <x v="1"/>
    <s v="Owerri"/>
    <x v="1"/>
    <s v="Cutlery Set"/>
    <n v="7"/>
    <n v="28.7"/>
    <n v="20"/>
    <x v="1"/>
    <n v="0"/>
    <x v="1"/>
    <s v="Aisha Bello"/>
    <x v="0"/>
    <x v="0"/>
  </r>
  <r>
    <s v="ORD1003"/>
    <x v="2"/>
    <x v="2"/>
    <x v="1"/>
    <s v="Enugu"/>
    <x v="1"/>
    <s v="Electric Kettle"/>
    <n v="8"/>
    <n v="160.74"/>
    <n v="0"/>
    <x v="2"/>
    <n v="0"/>
    <x v="1"/>
    <s v="Halima Yusuf"/>
    <x v="1"/>
    <x v="1"/>
  </r>
  <r>
    <s v="ORD1004"/>
    <x v="3"/>
    <x v="3"/>
    <x v="1"/>
    <s v="Aba"/>
    <x v="1"/>
    <s v="Non-Stick Frying Pan"/>
    <n v="7"/>
    <n v="70.599999999999994"/>
    <n v="0"/>
    <x v="3"/>
    <n v="0"/>
    <x v="1"/>
    <s v="Femi Adeyemi"/>
    <x v="2"/>
    <x v="0"/>
  </r>
  <r>
    <s v="ORD1005"/>
    <x v="4"/>
    <x v="4"/>
    <x v="2"/>
    <s v="Abeokuta"/>
    <x v="2"/>
    <s v="Running Shoes"/>
    <n v="3"/>
    <n v="129.83000000000001"/>
    <n v="5"/>
    <x v="4"/>
    <n v="0"/>
    <x v="1"/>
    <s v="Aisha Bello"/>
    <x v="2"/>
    <x v="1"/>
  </r>
  <r>
    <s v="ORD1006"/>
    <x v="5"/>
    <x v="5"/>
    <x v="3"/>
    <s v="Kaduna"/>
    <x v="2"/>
    <s v="Women's Blouse"/>
    <n v="3"/>
    <n v="116.16"/>
    <n v="10"/>
    <x v="5"/>
    <n v="0"/>
    <x v="1"/>
    <s v="Ifeanyi Okoro"/>
    <x v="0"/>
    <x v="1"/>
  </r>
  <r>
    <s v="ORD1007"/>
    <x v="6"/>
    <x v="6"/>
    <x v="4"/>
    <s v="Abuja"/>
    <x v="3"/>
    <s v="Perfume 50Ml"/>
    <n v="2"/>
    <n v="232.63"/>
    <n v="20"/>
    <x v="6"/>
    <n v="0"/>
    <x v="1"/>
    <s v="Grace Nwosu"/>
    <x v="2"/>
    <x v="0"/>
  </r>
  <r>
    <s v="ORD1008"/>
    <x v="7"/>
    <x v="7"/>
    <x v="2"/>
    <s v="Abeokuta"/>
    <x v="2"/>
    <s v="Ankle Boots"/>
    <n v="7"/>
    <n v="241.27"/>
    <n v="0"/>
    <x v="7"/>
    <n v="0"/>
    <x v="1"/>
    <s v="Grace Nwosu"/>
    <x v="1"/>
    <x v="0"/>
  </r>
  <r>
    <s v="ORD1009"/>
    <x v="8"/>
    <x v="8"/>
    <x v="4"/>
    <s v="Minna"/>
    <x v="0"/>
    <s v="Bluetooth Speaker"/>
    <n v="1"/>
    <n v="61.09"/>
    <n v="10"/>
    <x v="8"/>
    <n v="20.05"/>
    <x v="0"/>
    <s v="Aisha Bello"/>
    <x v="0"/>
    <x v="0"/>
  </r>
  <r>
    <s v="ORD1010"/>
    <x v="9"/>
    <x v="9"/>
    <x v="1"/>
    <s v="Enugu"/>
    <x v="4"/>
    <s v="Printer Paper (Ream)"/>
    <n v="1"/>
    <n v="169.97"/>
    <n v="0"/>
    <x v="9"/>
    <n v="0"/>
    <x v="1"/>
    <s v="Femi Adeyemi"/>
    <x v="3"/>
    <x v="0"/>
  </r>
  <r>
    <s v="ORD1011"/>
    <x v="10"/>
    <x v="10"/>
    <x v="3"/>
    <s v="Kaduna"/>
    <x v="3"/>
    <s v="Shampoo 500Ml"/>
    <n v="4"/>
    <n v="45.75"/>
    <n v="15"/>
    <x v="10"/>
    <n v="24.89"/>
    <x v="0"/>
    <s v="Yakubu Sani"/>
    <x v="2"/>
    <x v="0"/>
  </r>
  <r>
    <s v="ORD1012"/>
    <x v="11"/>
    <x v="11"/>
    <x v="1"/>
    <s v="Enugu"/>
    <x v="0"/>
    <s v="Tablet Stand"/>
    <n v="1"/>
    <n v="188.25"/>
    <n v="0"/>
    <x v="11"/>
    <n v="7.41"/>
    <x v="0"/>
    <s v="Aisha Bello"/>
    <x v="0"/>
    <x v="0"/>
  </r>
  <r>
    <s v="ORD1013"/>
    <x v="12"/>
    <x v="12"/>
    <x v="3"/>
    <s v="Kaduna"/>
    <x v="4"/>
    <s v="Clipboard"/>
    <n v="6"/>
    <n v="234"/>
    <n v="0"/>
    <x v="12"/>
    <n v="24.96"/>
    <x v="0"/>
    <s v="Ngozi Eze"/>
    <x v="1"/>
    <x v="0"/>
  </r>
  <r>
    <s v="ORD1014"/>
    <x v="13"/>
    <x v="13"/>
    <x v="0"/>
    <s v="Port Harcourt"/>
    <x v="0"/>
    <s v="Laptop Stand"/>
    <n v="3"/>
    <n v="112.36"/>
    <n v="0"/>
    <x v="13"/>
    <n v="5.58"/>
    <x v="0"/>
    <s v="Ngozi Eze"/>
    <x v="0"/>
    <x v="0"/>
  </r>
  <r>
    <s v="ORD1015"/>
    <x v="14"/>
    <x v="14"/>
    <x v="1"/>
    <s v="Owerri"/>
    <x v="4"/>
    <s v="Stapler"/>
    <n v="1"/>
    <n v="27.61"/>
    <n v="1"/>
    <x v="14"/>
    <n v="0"/>
    <x v="1"/>
    <s v="Yakubu Sani"/>
    <x v="2"/>
    <x v="0"/>
  </r>
  <r>
    <s v="ORD1016"/>
    <x v="15"/>
    <x v="15"/>
    <x v="3"/>
    <s v="Kaduna"/>
    <x v="3"/>
    <s v="Facial Cleanser"/>
    <n v="3"/>
    <n v="15.25"/>
    <n v="10"/>
    <x v="15"/>
    <n v="0"/>
    <x v="1"/>
    <s v="Yakubu Sani"/>
    <x v="4"/>
    <x v="0"/>
  </r>
  <r>
    <s v="ORD1017"/>
    <x v="16"/>
    <x v="16"/>
    <x v="0"/>
    <s v="Port Harcourt"/>
    <x v="0"/>
    <s v="Usb-C Charger"/>
    <n v="6"/>
    <n v="196.68"/>
    <n v="0"/>
    <x v="16"/>
    <n v="0"/>
    <x v="1"/>
    <s v="Halima Yusuf"/>
    <x v="1"/>
    <x v="0"/>
  </r>
  <r>
    <s v="ORD1018"/>
    <x v="17"/>
    <x v="17"/>
    <x v="0"/>
    <s v="Uyo"/>
    <x v="0"/>
    <s v="Laptop Stand"/>
    <n v="5"/>
    <n v="216.77"/>
    <n v="1.0000000000000002"/>
    <x v="17"/>
    <n v="15.72"/>
    <x v="0"/>
    <s v="Aisha Bello"/>
    <x v="0"/>
    <x v="0"/>
  </r>
  <r>
    <s v="ORD1019"/>
    <x v="18"/>
    <x v="18"/>
    <x v="4"/>
    <s v="Jos"/>
    <x v="4"/>
    <s v="Clipboard"/>
    <n v="1"/>
    <n v="178.65"/>
    <n v="15"/>
    <x v="18"/>
    <n v="0"/>
    <x v="1"/>
    <s v="Kemi Balogun"/>
    <x v="2"/>
    <x v="0"/>
  </r>
  <r>
    <s v="ORD1020"/>
    <x v="19"/>
    <x v="19"/>
    <x v="2"/>
    <s v="Ibadan"/>
    <x v="4"/>
    <s v="Stapler"/>
    <n v="4"/>
    <n v="108.01"/>
    <n v="10"/>
    <x v="19"/>
    <n v="0"/>
    <x v="1"/>
    <s v="Aisha Bello"/>
    <x v="1"/>
    <x v="0"/>
  </r>
  <r>
    <s v="ORD1021"/>
    <x v="20"/>
    <x v="20"/>
    <x v="2"/>
    <s v="Abeokuta"/>
    <x v="0"/>
    <s v="Webcam Hd"/>
    <n v="6"/>
    <n v="27.88"/>
    <n v="5"/>
    <x v="20"/>
    <n v="0"/>
    <x v="1"/>
    <s v="Ngozi Eze"/>
    <x v="2"/>
    <x v="0"/>
  </r>
  <r>
    <s v="ORD1022"/>
    <x v="21"/>
    <x v="21"/>
    <x v="2"/>
    <s v="Ibadan"/>
    <x v="1"/>
    <s v="Blender"/>
    <n v="1"/>
    <n v="223.7"/>
    <n v="20"/>
    <x v="21"/>
    <n v="0"/>
    <x v="1"/>
    <s v="Halima Yusuf"/>
    <x v="2"/>
    <x v="0"/>
  </r>
  <r>
    <s v="ORD1023"/>
    <x v="22"/>
    <x v="22"/>
    <x v="4"/>
    <s v="Jos"/>
    <x v="2"/>
    <s v="Wool Scarf"/>
    <n v="7"/>
    <n v="208.49"/>
    <n v="15"/>
    <x v="22"/>
    <n v="0"/>
    <x v="1"/>
    <s v="Grace Nwosu"/>
    <x v="0"/>
    <x v="0"/>
  </r>
  <r>
    <s v="ORD1024"/>
    <x v="23"/>
    <x v="23"/>
    <x v="1"/>
    <s v="Owerri"/>
    <x v="3"/>
    <s v="Body Lotion"/>
    <n v="4"/>
    <n v="98.84"/>
    <n v="1"/>
    <x v="23"/>
    <n v="0"/>
    <x v="1"/>
    <s v="Aisha Bello"/>
    <x v="4"/>
    <x v="0"/>
  </r>
  <r>
    <s v="ORD1025"/>
    <x v="24"/>
    <x v="24"/>
    <x v="1"/>
    <s v="Owerri"/>
    <x v="4"/>
    <s v="Whiteboard Markers"/>
    <n v="4"/>
    <n v="124.62"/>
    <n v="1"/>
    <x v="24"/>
    <n v="11.06"/>
    <x v="0"/>
    <s v="Aisha Bello"/>
    <x v="4"/>
    <x v="0"/>
  </r>
  <r>
    <s v="ORD1026"/>
    <x v="25"/>
    <x v="25"/>
    <x v="0"/>
    <s v="Port Harcourt"/>
    <x v="1"/>
    <s v="Non-Stick Frying Pan"/>
    <n v="6"/>
    <n v="56.86"/>
    <n v="15"/>
    <x v="25"/>
    <n v="0"/>
    <x v="1"/>
    <s v="Tunde Bakare"/>
    <x v="1"/>
    <x v="1"/>
  </r>
  <r>
    <s v="ORD1027"/>
    <x v="26"/>
    <x v="26"/>
    <x v="3"/>
    <s v="Sokoto"/>
    <x v="1"/>
    <s v="Coffee Maker"/>
    <n v="3"/>
    <n v="63.44"/>
    <n v="20"/>
    <x v="26"/>
    <n v="0"/>
    <x v="1"/>
    <s v="Ngozi Eze"/>
    <x v="1"/>
    <x v="1"/>
  </r>
  <r>
    <s v="ORD1028"/>
    <x v="27"/>
    <x v="27"/>
    <x v="4"/>
    <s v="Minna"/>
    <x v="4"/>
    <s v="Whiteboard Markers"/>
    <n v="4"/>
    <n v="23.62"/>
    <n v="10"/>
    <x v="27"/>
    <n v="10.52"/>
    <x v="0"/>
    <s v="Kemi Balogun"/>
    <x v="1"/>
    <x v="2"/>
  </r>
  <r>
    <s v="ORD1029"/>
    <x v="28"/>
    <x v="28"/>
    <x v="2"/>
    <s v="Abeokuta"/>
    <x v="4"/>
    <s v="File Folders"/>
    <n v="8"/>
    <n v="178.29"/>
    <n v="0"/>
    <x v="28"/>
    <n v="0"/>
    <x v="1"/>
    <s v="Aisha Bello"/>
    <x v="1"/>
    <x v="0"/>
  </r>
  <r>
    <s v="ORD1030"/>
    <x v="29"/>
    <x v="29"/>
    <x v="2"/>
    <s v="Osogbo"/>
    <x v="4"/>
    <s v="Clipboard"/>
    <n v="7"/>
    <n v="87.42"/>
    <n v="1"/>
    <x v="29"/>
    <n v="0"/>
    <x v="1"/>
    <s v="Chidi Obinna"/>
    <x v="4"/>
    <x v="1"/>
  </r>
  <r>
    <s v="ORD1031"/>
    <x v="30"/>
    <x v="30"/>
    <x v="4"/>
    <s v="Minna"/>
    <x v="4"/>
    <s v="Printer Paper (Ream)"/>
    <n v="1"/>
    <n v="27.8"/>
    <n v="0"/>
    <x v="30"/>
    <n v="0"/>
    <x v="1"/>
    <s v="Kemi Balogun"/>
    <x v="4"/>
    <x v="0"/>
  </r>
  <r>
    <s v="ORD1032"/>
    <x v="31"/>
    <x v="31"/>
    <x v="0"/>
    <s v="Port Harcourt"/>
    <x v="0"/>
    <s v="Wireless Keyboard"/>
    <n v="3"/>
    <n v="51.93"/>
    <n v="15"/>
    <x v="31"/>
    <n v="8.31"/>
    <x v="0"/>
    <s v="Tunde Bakare"/>
    <x v="3"/>
    <x v="2"/>
  </r>
  <r>
    <s v="ORD1033"/>
    <x v="32"/>
    <x v="32"/>
    <x v="2"/>
    <s v="Osogbo"/>
    <x v="0"/>
    <s v="Tablet Stand"/>
    <n v="8"/>
    <n v="112.91"/>
    <n v="0"/>
    <x v="32"/>
    <n v="23.83"/>
    <x v="0"/>
    <s v="Femi Adeyemi"/>
    <x v="3"/>
    <x v="0"/>
  </r>
  <r>
    <s v="ORD1034"/>
    <x v="0"/>
    <x v="33"/>
    <x v="4"/>
    <s v="Minna"/>
    <x v="3"/>
    <s v="Hair Dryer"/>
    <n v="7"/>
    <n v="115.38"/>
    <n v="15"/>
    <x v="33"/>
    <n v="17.190000000000001"/>
    <x v="0"/>
    <s v="Halima Yusuf"/>
    <x v="1"/>
    <x v="0"/>
  </r>
  <r>
    <s v="ORD1035"/>
    <x v="33"/>
    <x v="34"/>
    <x v="3"/>
    <s v="Sokoto"/>
    <x v="4"/>
    <s v="Clipboard"/>
    <n v="1"/>
    <n v="61.71"/>
    <n v="5"/>
    <x v="34"/>
    <n v="0"/>
    <x v="1"/>
    <s v="Halima Yusuf"/>
    <x v="3"/>
    <x v="0"/>
  </r>
  <r>
    <s v="ORD1036"/>
    <x v="9"/>
    <x v="35"/>
    <x v="0"/>
    <s v="Port Harcourt"/>
    <x v="0"/>
    <s v="Usb-C Charger"/>
    <n v="5"/>
    <n v="112.59"/>
    <n v="10"/>
    <x v="35"/>
    <n v="0"/>
    <x v="1"/>
    <s v="Kemi Balogun"/>
    <x v="0"/>
    <x v="0"/>
  </r>
  <r>
    <s v="ORD1037"/>
    <x v="34"/>
    <x v="33"/>
    <x v="4"/>
    <s v="Jos"/>
    <x v="0"/>
    <s v="Webcam Hd"/>
    <n v="3"/>
    <n v="120.27"/>
    <n v="0"/>
    <x v="36"/>
    <n v="4.41"/>
    <x v="0"/>
    <s v="Yakubu Sani"/>
    <x v="4"/>
    <x v="0"/>
  </r>
  <r>
    <s v="ORD1038"/>
    <x v="35"/>
    <x v="36"/>
    <x v="2"/>
    <s v="Abeokuta"/>
    <x v="4"/>
    <s v="Ballpoint Pens (Box)"/>
    <n v="6"/>
    <n v="33.4"/>
    <n v="15"/>
    <x v="37"/>
    <n v="0"/>
    <x v="1"/>
    <s v="Grace Nwosu"/>
    <x v="0"/>
    <x v="0"/>
  </r>
  <r>
    <s v="ORD1039"/>
    <x v="36"/>
    <x v="37"/>
    <x v="1"/>
    <s v="Enugu"/>
    <x v="4"/>
    <s v="Ballpoint Pens (Box)"/>
    <n v="4"/>
    <n v="178.9"/>
    <n v="5"/>
    <x v="38"/>
    <n v="0"/>
    <x v="1"/>
    <s v="Femi Adeyemi"/>
    <x v="2"/>
    <x v="3"/>
  </r>
  <r>
    <s v="ORD1040"/>
    <x v="37"/>
    <x v="38"/>
    <x v="2"/>
    <s v="Osogbo"/>
    <x v="1"/>
    <s v="Dish Rack"/>
    <n v="7"/>
    <n v="51.7"/>
    <n v="0"/>
    <x v="39"/>
    <n v="21.26"/>
    <x v="0"/>
    <s v="Tunde Bakare"/>
    <x v="3"/>
    <x v="0"/>
  </r>
  <r>
    <s v="ORD1041"/>
    <x v="12"/>
    <x v="39"/>
    <x v="4"/>
    <s v="Minna"/>
    <x v="2"/>
    <s v="Sunglasses"/>
    <n v="7"/>
    <n v="116.56"/>
    <n v="5"/>
    <x v="40"/>
    <n v="0"/>
    <x v="1"/>
    <s v="Yakubu Sani"/>
    <x v="2"/>
    <x v="2"/>
  </r>
  <r>
    <s v="ORD1042"/>
    <x v="38"/>
    <x v="40"/>
    <x v="4"/>
    <s v="Minna"/>
    <x v="2"/>
    <s v="Women's Blouse"/>
    <n v="8"/>
    <n v="29.43"/>
    <n v="20"/>
    <x v="41"/>
    <n v="0"/>
    <x v="1"/>
    <s v="Ngozi Eze"/>
    <x v="2"/>
    <x v="0"/>
  </r>
  <r>
    <s v="ORD1043"/>
    <x v="39"/>
    <x v="41"/>
    <x v="2"/>
    <s v="Ibadan"/>
    <x v="3"/>
    <s v="Body Lotion"/>
    <n v="5"/>
    <n v="249.37"/>
    <n v="20"/>
    <x v="42"/>
    <n v="10.24"/>
    <x v="0"/>
    <s v="Kemi Balogun"/>
    <x v="3"/>
    <x v="0"/>
  </r>
  <r>
    <s v="ORD1044"/>
    <x v="38"/>
    <x v="42"/>
    <x v="0"/>
    <s v="Calabar"/>
    <x v="1"/>
    <s v="Electric Kettle"/>
    <n v="7"/>
    <n v="156.83000000000001"/>
    <n v="0"/>
    <x v="43"/>
    <n v="5.63"/>
    <x v="0"/>
    <s v="Grace Nwosu"/>
    <x v="2"/>
    <x v="0"/>
  </r>
  <r>
    <s v="ORD1045"/>
    <x v="40"/>
    <x v="43"/>
    <x v="2"/>
    <s v="Osogbo"/>
    <x v="4"/>
    <s v="Stapler"/>
    <n v="7"/>
    <n v="214.07"/>
    <n v="0"/>
    <x v="44"/>
    <n v="0"/>
    <x v="1"/>
    <s v="Chidi Obinna"/>
    <x v="1"/>
    <x v="3"/>
  </r>
  <r>
    <s v="ORD1046"/>
    <x v="41"/>
    <x v="44"/>
    <x v="4"/>
    <s v="Minna"/>
    <x v="4"/>
    <s v="Stapler"/>
    <n v="4"/>
    <n v="153.72999999999999"/>
    <n v="15"/>
    <x v="45"/>
    <n v="9.11"/>
    <x v="0"/>
    <s v="Ngozi Eze"/>
    <x v="1"/>
    <x v="0"/>
  </r>
  <r>
    <s v="ORD1047"/>
    <x v="42"/>
    <x v="45"/>
    <x v="3"/>
    <s v="Kaduna"/>
    <x v="2"/>
    <s v="Canvas Backpack"/>
    <n v="3"/>
    <n v="197.7"/>
    <n v="20"/>
    <x v="46"/>
    <n v="24.15"/>
    <x v="0"/>
    <s v="Kemi Balogun"/>
    <x v="1"/>
    <x v="2"/>
  </r>
  <r>
    <s v="ORD1048"/>
    <x v="43"/>
    <x v="46"/>
    <x v="2"/>
    <s v="Ibadan"/>
    <x v="0"/>
    <s v="Power Bank"/>
    <n v="2"/>
    <n v="116.42"/>
    <n v="10"/>
    <x v="47"/>
    <n v="0"/>
    <x v="1"/>
    <s v="Tunde Bakare"/>
    <x v="4"/>
    <x v="2"/>
  </r>
  <r>
    <s v="ORD1049"/>
    <x v="44"/>
    <x v="47"/>
    <x v="3"/>
    <s v="Kaduna"/>
    <x v="2"/>
    <s v="Canvas Backpack"/>
    <n v="1"/>
    <n v="236.83"/>
    <n v="5"/>
    <x v="48"/>
    <n v="0"/>
    <x v="1"/>
    <s v="Ifeanyi Okoro"/>
    <x v="2"/>
    <x v="2"/>
  </r>
  <r>
    <s v="ORD1050"/>
    <x v="39"/>
    <x v="48"/>
    <x v="2"/>
    <s v="Abeokuta"/>
    <x v="2"/>
    <s v="Men's T-Shirt"/>
    <n v="4"/>
    <n v="113.63"/>
    <n v="0"/>
    <x v="49"/>
    <n v="20.96"/>
    <x v="0"/>
    <s v="Halima Yusuf"/>
    <x v="4"/>
    <x v="0"/>
  </r>
  <r>
    <s v="ORD1051"/>
    <x v="45"/>
    <x v="49"/>
    <x v="3"/>
    <s v="Kano"/>
    <x v="2"/>
    <s v="Running Shoes"/>
    <n v="4"/>
    <n v="21.81"/>
    <n v="0"/>
    <x v="50"/>
    <n v="4.53"/>
    <x v="0"/>
    <s v="Ifeanyi Okoro"/>
    <x v="4"/>
    <x v="1"/>
  </r>
  <r>
    <s v="ORD1052"/>
    <x v="22"/>
    <x v="50"/>
    <x v="0"/>
    <s v="Port Harcourt"/>
    <x v="0"/>
    <s v="Usb-C Charger"/>
    <n v="3"/>
    <n v="186.72"/>
    <n v="15"/>
    <x v="51"/>
    <n v="0"/>
    <x v="1"/>
    <s v="Tunde Bakare"/>
    <x v="0"/>
    <x v="1"/>
  </r>
  <r>
    <s v="ORD1053"/>
    <x v="46"/>
    <x v="51"/>
    <x v="3"/>
    <s v="Sokoto"/>
    <x v="4"/>
    <s v="Whiteboard Markers"/>
    <n v="2"/>
    <n v="125.12"/>
    <n v="5"/>
    <x v="52"/>
    <n v="0"/>
    <x v="1"/>
    <s v="Kemi Balogun"/>
    <x v="2"/>
    <x v="0"/>
  </r>
  <r>
    <s v="ORD1054"/>
    <x v="47"/>
    <x v="52"/>
    <x v="3"/>
    <s v="Kano"/>
    <x v="3"/>
    <s v="Hair Dryer"/>
    <n v="4"/>
    <n v="106.38"/>
    <n v="0"/>
    <x v="53"/>
    <n v="0"/>
    <x v="1"/>
    <s v="Grace Nwosu"/>
    <x v="4"/>
    <x v="0"/>
  </r>
  <r>
    <s v="ORD1055"/>
    <x v="48"/>
    <x v="53"/>
    <x v="1"/>
    <s v="Aba"/>
    <x v="3"/>
    <s v="Shampoo 500Ml"/>
    <n v="6"/>
    <n v="169.15"/>
    <n v="0"/>
    <x v="54"/>
    <n v="0"/>
    <x v="1"/>
    <s v="Halima Yusuf"/>
    <x v="3"/>
    <x v="3"/>
  </r>
  <r>
    <s v="ORD1056"/>
    <x v="49"/>
    <x v="54"/>
    <x v="1"/>
    <s v="Owerri"/>
    <x v="2"/>
    <s v="Baseball Cap"/>
    <n v="7"/>
    <n v="212.06"/>
    <n v="0"/>
    <x v="55"/>
    <n v="9.11"/>
    <x v="0"/>
    <s v="Femi Adeyemi"/>
    <x v="0"/>
    <x v="0"/>
  </r>
  <r>
    <s v="ORD1057"/>
    <x v="33"/>
    <x v="55"/>
    <x v="4"/>
    <s v="Minna"/>
    <x v="4"/>
    <s v="Ballpoint Pens (Box)"/>
    <n v="1"/>
    <n v="27.48"/>
    <n v="0"/>
    <x v="56"/>
    <n v="0"/>
    <x v="1"/>
    <s v="Ngozi Eze"/>
    <x v="4"/>
    <x v="0"/>
  </r>
  <r>
    <s v="ORD1058"/>
    <x v="4"/>
    <x v="56"/>
    <x v="2"/>
    <s v="Abeokuta"/>
    <x v="4"/>
    <s v="Clipboard"/>
    <n v="5"/>
    <n v="57.81"/>
    <n v="0"/>
    <x v="57"/>
    <n v="0"/>
    <x v="1"/>
    <s v="Tunde Bakare"/>
    <x v="0"/>
    <x v="0"/>
  </r>
  <r>
    <s v="ORD1059"/>
    <x v="50"/>
    <x v="57"/>
    <x v="1"/>
    <s v="Enugu"/>
    <x v="0"/>
    <s v="Smartwatch"/>
    <n v="3"/>
    <n v="36.65"/>
    <n v="20"/>
    <x v="58"/>
    <n v="0"/>
    <x v="1"/>
    <s v="Ngozi Eze"/>
    <x v="3"/>
    <x v="0"/>
  </r>
  <r>
    <s v="ORD1060"/>
    <x v="51"/>
    <x v="58"/>
    <x v="1"/>
    <s v="Aba"/>
    <x v="4"/>
    <s v="Notebook Pack"/>
    <n v="3"/>
    <n v="201.32"/>
    <n v="0"/>
    <x v="59"/>
    <n v="0"/>
    <x v="1"/>
    <s v="Ifeanyi Okoro"/>
    <x v="3"/>
    <x v="0"/>
  </r>
  <r>
    <s v="ORD1061"/>
    <x v="52"/>
    <x v="59"/>
    <x v="0"/>
    <s v="Port Harcourt"/>
    <x v="3"/>
    <s v="Body Lotion"/>
    <n v="4"/>
    <n v="226.95"/>
    <n v="20"/>
    <x v="60"/>
    <n v="0"/>
    <x v="1"/>
    <s v="Femi Adeyemi"/>
    <x v="2"/>
    <x v="0"/>
  </r>
  <r>
    <s v="ORD1062"/>
    <x v="53"/>
    <x v="60"/>
    <x v="2"/>
    <s v="Abeokuta"/>
    <x v="3"/>
    <s v="Hand Cream"/>
    <n v="6"/>
    <n v="41.98"/>
    <n v="0"/>
    <x v="61"/>
    <n v="0"/>
    <x v="1"/>
    <s v="Grace Nwosu"/>
    <x v="1"/>
    <x v="0"/>
  </r>
  <r>
    <s v="ORD1063"/>
    <x v="54"/>
    <x v="61"/>
    <x v="3"/>
    <s v="Kaduna"/>
    <x v="4"/>
    <s v="Clipboard"/>
    <n v="1"/>
    <n v="115.18"/>
    <n v="10"/>
    <x v="62"/>
    <n v="0"/>
    <x v="1"/>
    <s v="Ngozi Eze"/>
    <x v="0"/>
    <x v="0"/>
  </r>
  <r>
    <s v="ORD1064"/>
    <x v="55"/>
    <x v="62"/>
    <x v="4"/>
    <s v="Jos"/>
    <x v="3"/>
    <s v="Face Wash"/>
    <n v="5"/>
    <n v="99.92"/>
    <n v="15"/>
    <x v="63"/>
    <n v="24.18"/>
    <x v="0"/>
    <s v="Chidi Obinna"/>
    <x v="4"/>
    <x v="0"/>
  </r>
  <r>
    <s v="ORD1065"/>
    <x v="56"/>
    <x v="63"/>
    <x v="0"/>
    <s v="Uyo"/>
    <x v="2"/>
    <s v="Canvas Backpack"/>
    <n v="2"/>
    <n v="80.849999999999994"/>
    <n v="0"/>
    <x v="64"/>
    <n v="6.93"/>
    <x v="0"/>
    <s v="Kemi Balogun"/>
    <x v="0"/>
    <x v="0"/>
  </r>
  <r>
    <s v="ORD1066"/>
    <x v="57"/>
    <x v="64"/>
    <x v="0"/>
    <s v="Calabar"/>
    <x v="2"/>
    <s v="Women's Blouse"/>
    <n v="1"/>
    <n v="167.17"/>
    <n v="0"/>
    <x v="65"/>
    <n v="17.559999999999999"/>
    <x v="0"/>
    <s v="Grace Nwosu"/>
    <x v="4"/>
    <x v="0"/>
  </r>
  <r>
    <s v="ORD1067"/>
    <x v="58"/>
    <x v="65"/>
    <x v="2"/>
    <s v="Osogbo"/>
    <x v="3"/>
    <s v="Hair Dryer"/>
    <n v="8"/>
    <n v="226.47"/>
    <n v="0"/>
    <x v="66"/>
    <n v="0"/>
    <x v="1"/>
    <s v="Yakubu Sani"/>
    <x v="0"/>
    <x v="0"/>
  </r>
  <r>
    <s v="ORD1068"/>
    <x v="59"/>
    <x v="66"/>
    <x v="2"/>
    <s v="Abeokuta"/>
    <x v="3"/>
    <s v="Body Lotion"/>
    <n v="2"/>
    <n v="74.84"/>
    <n v="0"/>
    <x v="67"/>
    <n v="10.6"/>
    <x v="0"/>
    <s v="Yakubu Sani"/>
    <x v="4"/>
    <x v="0"/>
  </r>
  <r>
    <s v="ORD1069"/>
    <x v="60"/>
    <x v="67"/>
    <x v="3"/>
    <s v="Kano"/>
    <x v="1"/>
    <s v="Blender"/>
    <n v="8"/>
    <n v="175.54"/>
    <n v="10"/>
    <x v="68"/>
    <n v="0"/>
    <x v="1"/>
    <s v="Aisha Bello"/>
    <x v="3"/>
    <x v="2"/>
  </r>
  <r>
    <s v="ORD1070"/>
    <x v="61"/>
    <x v="68"/>
    <x v="0"/>
    <s v="Port Harcourt"/>
    <x v="3"/>
    <s v="Sunscreen Spf50"/>
    <n v="8"/>
    <n v="151.19999999999999"/>
    <n v="0"/>
    <x v="69"/>
    <n v="0"/>
    <x v="1"/>
    <s v="Yakubu Sani"/>
    <x v="2"/>
    <x v="0"/>
  </r>
  <r>
    <s v="ORD1071"/>
    <x v="62"/>
    <x v="69"/>
    <x v="4"/>
    <s v="Jos"/>
    <x v="3"/>
    <s v="Facial Cleanser"/>
    <n v="7"/>
    <n v="218.97"/>
    <n v="20"/>
    <x v="70"/>
    <n v="19.399999999999999"/>
    <x v="0"/>
    <s v="Ngozi Eze"/>
    <x v="1"/>
    <x v="1"/>
  </r>
  <r>
    <s v="ORD1072"/>
    <x v="63"/>
    <x v="70"/>
    <x v="0"/>
    <s v="Calabar"/>
    <x v="4"/>
    <s v="Desk Organizer"/>
    <n v="2"/>
    <n v="180.43"/>
    <n v="5"/>
    <x v="71"/>
    <n v="0"/>
    <x v="1"/>
    <s v="Ifeanyi Okoro"/>
    <x v="2"/>
    <x v="2"/>
  </r>
  <r>
    <s v="ORD1073"/>
    <x v="64"/>
    <x v="71"/>
    <x v="3"/>
    <s v="Kaduna"/>
    <x v="2"/>
    <s v="Women's Blouse"/>
    <n v="7"/>
    <n v="222.92"/>
    <n v="20"/>
    <x v="72"/>
    <n v="0"/>
    <x v="1"/>
    <s v="Chidi Obinna"/>
    <x v="4"/>
    <x v="3"/>
  </r>
  <r>
    <s v="ORD1074"/>
    <x v="65"/>
    <x v="72"/>
    <x v="0"/>
    <s v="Uyo"/>
    <x v="2"/>
    <s v="Women's Blouse"/>
    <n v="5"/>
    <n v="80.09"/>
    <n v="0"/>
    <x v="73"/>
    <n v="0"/>
    <x v="1"/>
    <s v="Yakubu Sani"/>
    <x v="4"/>
    <x v="0"/>
  </r>
  <r>
    <s v="ORD1075"/>
    <x v="66"/>
    <x v="73"/>
    <x v="4"/>
    <s v="Abuja"/>
    <x v="1"/>
    <s v="Non-Stick Frying Pan"/>
    <n v="8"/>
    <n v="13.53"/>
    <n v="0"/>
    <x v="74"/>
    <n v="0"/>
    <x v="1"/>
    <s v="Grace Nwosu"/>
    <x v="4"/>
    <x v="0"/>
  </r>
  <r>
    <s v="ORD1076"/>
    <x v="67"/>
    <x v="74"/>
    <x v="2"/>
    <s v="Ibadan"/>
    <x v="2"/>
    <s v="Running Shoes"/>
    <n v="1"/>
    <n v="185.24"/>
    <n v="15"/>
    <x v="75"/>
    <n v="0"/>
    <x v="1"/>
    <s v="Chidi Obinna"/>
    <x v="3"/>
    <x v="0"/>
  </r>
  <r>
    <s v="ORD1077"/>
    <x v="68"/>
    <x v="75"/>
    <x v="2"/>
    <s v="Osogbo"/>
    <x v="4"/>
    <s v="Ballpoint Pens (Box)"/>
    <n v="6"/>
    <n v="168.62"/>
    <n v="0"/>
    <x v="76"/>
    <n v="7.44"/>
    <x v="0"/>
    <s v="Ngozi Eze"/>
    <x v="1"/>
    <x v="2"/>
  </r>
  <r>
    <s v="ORD1078"/>
    <x v="69"/>
    <x v="76"/>
    <x v="2"/>
    <s v="Abeokuta"/>
    <x v="3"/>
    <s v="Body Lotion"/>
    <n v="7"/>
    <n v="249.9"/>
    <n v="0"/>
    <x v="77"/>
    <n v="0"/>
    <x v="1"/>
    <s v="Ifeanyi Okoro"/>
    <x v="3"/>
    <x v="0"/>
  </r>
  <r>
    <s v="ORD1079"/>
    <x v="70"/>
    <x v="77"/>
    <x v="0"/>
    <s v="Uyo"/>
    <x v="3"/>
    <s v="Shampoo 500Ml"/>
    <n v="3"/>
    <n v="79.510000000000005"/>
    <n v="0"/>
    <x v="78"/>
    <n v="8.9600000000000009"/>
    <x v="0"/>
    <s v="Ifeanyi Okoro"/>
    <x v="4"/>
    <x v="3"/>
  </r>
  <r>
    <s v="ORD1080"/>
    <x v="71"/>
    <x v="78"/>
    <x v="4"/>
    <s v="Jos"/>
    <x v="1"/>
    <s v="Air Fryer"/>
    <n v="6"/>
    <n v="211.42"/>
    <n v="20"/>
    <x v="79"/>
    <n v="0"/>
    <x v="1"/>
    <s v="Halima Yusuf"/>
    <x v="3"/>
    <x v="0"/>
  </r>
  <r>
    <s v="ORD1081"/>
    <x v="72"/>
    <x v="79"/>
    <x v="4"/>
    <s v="Jos"/>
    <x v="2"/>
    <s v="Wool Scarf"/>
    <n v="7"/>
    <n v="77.87"/>
    <n v="15"/>
    <x v="80"/>
    <n v="0"/>
    <x v="1"/>
    <s v="Kemi Balogun"/>
    <x v="0"/>
    <x v="0"/>
  </r>
  <r>
    <s v="ORD1082"/>
    <x v="73"/>
    <x v="80"/>
    <x v="4"/>
    <s v="Minna"/>
    <x v="2"/>
    <s v="Running Shoes"/>
    <n v="5"/>
    <n v="115.15"/>
    <n v="0"/>
    <x v="81"/>
    <n v="0"/>
    <x v="1"/>
    <s v="Kemi Balogun"/>
    <x v="2"/>
    <x v="3"/>
  </r>
  <r>
    <s v="ORD1083"/>
    <x v="74"/>
    <x v="81"/>
    <x v="2"/>
    <s v="Abeokuta"/>
    <x v="0"/>
    <s v="Power Bank"/>
    <n v="4"/>
    <n v="57.71"/>
    <n v="20"/>
    <x v="82"/>
    <n v="0"/>
    <x v="1"/>
    <s v="Kemi Balogun"/>
    <x v="1"/>
    <x v="0"/>
  </r>
  <r>
    <s v="ORD1084"/>
    <x v="75"/>
    <x v="82"/>
    <x v="1"/>
    <s v="Owerri"/>
    <x v="2"/>
    <s v="Women's Blouse"/>
    <n v="8"/>
    <n v="192.28"/>
    <n v="20"/>
    <x v="83"/>
    <n v="0"/>
    <x v="1"/>
    <s v="Kemi Balogun"/>
    <x v="3"/>
    <x v="0"/>
  </r>
  <r>
    <s v="ORD1085"/>
    <x v="76"/>
    <x v="83"/>
    <x v="3"/>
    <s v="Kaduna"/>
    <x v="2"/>
    <s v="Wool Scarf"/>
    <n v="3"/>
    <n v="153.53"/>
    <n v="10"/>
    <x v="84"/>
    <n v="0"/>
    <x v="1"/>
    <s v="Kemi Balogun"/>
    <x v="2"/>
    <x v="0"/>
  </r>
  <r>
    <s v="ORD1086"/>
    <x v="77"/>
    <x v="84"/>
    <x v="3"/>
    <s v="Sokoto"/>
    <x v="2"/>
    <s v="Women's Blouse"/>
    <n v="5"/>
    <n v="200.2"/>
    <n v="15"/>
    <x v="85"/>
    <n v="0"/>
    <x v="1"/>
    <s v="Halima Yusuf"/>
    <x v="0"/>
    <x v="0"/>
  </r>
  <r>
    <s v="ORD1087"/>
    <x v="78"/>
    <x v="85"/>
    <x v="2"/>
    <s v="Osogbo"/>
    <x v="1"/>
    <s v="Non-Stick Frying Pan"/>
    <n v="2"/>
    <n v="51.74"/>
    <n v="15"/>
    <x v="86"/>
    <n v="0"/>
    <x v="1"/>
    <s v="Tunde Bakare"/>
    <x v="2"/>
    <x v="0"/>
  </r>
  <r>
    <s v="ORD1088"/>
    <x v="79"/>
    <x v="86"/>
    <x v="4"/>
    <s v="Jos"/>
    <x v="2"/>
    <s v="Denim Jeans"/>
    <n v="6"/>
    <n v="138.84"/>
    <n v="0"/>
    <x v="87"/>
    <n v="0"/>
    <x v="1"/>
    <s v="Chidi Obinna"/>
    <x v="1"/>
    <x v="0"/>
  </r>
  <r>
    <s v="ORD1089"/>
    <x v="80"/>
    <x v="87"/>
    <x v="2"/>
    <s v="Abeokuta"/>
    <x v="4"/>
    <s v="File Folders"/>
    <n v="5"/>
    <n v="75.510000000000005"/>
    <n v="0"/>
    <x v="88"/>
    <n v="0"/>
    <x v="1"/>
    <s v="Ngozi Eze"/>
    <x v="4"/>
    <x v="3"/>
  </r>
  <r>
    <s v="ORD1090"/>
    <x v="81"/>
    <x v="88"/>
    <x v="4"/>
    <s v="Jos"/>
    <x v="3"/>
    <s v="Electric Shaver"/>
    <n v="4"/>
    <n v="64.400000000000006"/>
    <n v="0"/>
    <x v="89"/>
    <n v="24.49"/>
    <x v="0"/>
    <s v="Femi Adeyemi"/>
    <x v="2"/>
    <x v="0"/>
  </r>
  <r>
    <s v="ORD1091"/>
    <x v="82"/>
    <x v="89"/>
    <x v="2"/>
    <s v="Ibadan"/>
    <x v="1"/>
    <s v="Toaster"/>
    <n v="1"/>
    <n v="227.44"/>
    <n v="20"/>
    <x v="90"/>
    <n v="23.54"/>
    <x v="0"/>
    <s v="Yakubu Sani"/>
    <x v="3"/>
    <x v="2"/>
  </r>
  <r>
    <s v="ORD1092"/>
    <x v="83"/>
    <x v="90"/>
    <x v="4"/>
    <s v="Jos"/>
    <x v="2"/>
    <s v="Leather Belt"/>
    <n v="8"/>
    <n v="222.87"/>
    <n v="15"/>
    <x v="91"/>
    <n v="0"/>
    <x v="1"/>
    <s v="Chidi Obinna"/>
    <x v="2"/>
    <x v="1"/>
  </r>
  <r>
    <s v="ORD1093"/>
    <x v="84"/>
    <x v="91"/>
    <x v="0"/>
    <s v="Port Harcourt"/>
    <x v="3"/>
    <s v="Lip Balm Set"/>
    <n v="6"/>
    <n v="26.25"/>
    <n v="0"/>
    <x v="92"/>
    <n v="0"/>
    <x v="1"/>
    <s v="Chidi Obinna"/>
    <x v="4"/>
    <x v="3"/>
  </r>
  <r>
    <s v="ORD1094"/>
    <x v="85"/>
    <x v="92"/>
    <x v="0"/>
    <s v="Port Harcourt"/>
    <x v="0"/>
    <s v="Smartwatch"/>
    <n v="7"/>
    <n v="173.09"/>
    <n v="5"/>
    <x v="93"/>
    <n v="19.2"/>
    <x v="0"/>
    <s v="Femi Adeyemi"/>
    <x v="3"/>
    <x v="0"/>
  </r>
  <r>
    <s v="ORD1095"/>
    <x v="86"/>
    <x v="93"/>
    <x v="2"/>
    <s v="Ibadan"/>
    <x v="1"/>
    <s v="Air Fryer"/>
    <n v="2"/>
    <n v="133.75"/>
    <n v="0"/>
    <x v="94"/>
    <n v="0"/>
    <x v="1"/>
    <s v="Ifeanyi Okoro"/>
    <x v="3"/>
    <x v="0"/>
  </r>
  <r>
    <s v="ORD1096"/>
    <x v="87"/>
    <x v="94"/>
    <x v="4"/>
    <s v="Jos"/>
    <x v="0"/>
    <s v="Wireless Keyboard"/>
    <n v="1"/>
    <n v="116.09"/>
    <n v="15"/>
    <x v="95"/>
    <n v="3.68"/>
    <x v="0"/>
    <s v="Tunde Bakare"/>
    <x v="0"/>
    <x v="0"/>
  </r>
  <r>
    <s v="ORD1097"/>
    <x v="52"/>
    <x v="95"/>
    <x v="3"/>
    <s v="Kaduna"/>
    <x v="4"/>
    <s v="Notebook Pack"/>
    <n v="3"/>
    <n v="193.4"/>
    <n v="15"/>
    <x v="96"/>
    <n v="0"/>
    <x v="1"/>
    <s v="Ngozi Eze"/>
    <x v="4"/>
    <x v="0"/>
  </r>
  <r>
    <s v="ORD1098"/>
    <x v="88"/>
    <x v="96"/>
    <x v="0"/>
    <s v="Port Harcourt"/>
    <x v="3"/>
    <s v="Face Wash"/>
    <n v="4"/>
    <n v="209.53"/>
    <n v="0"/>
    <x v="97"/>
    <n v="0"/>
    <x v="1"/>
    <s v="Kemi Balogun"/>
    <x v="0"/>
    <x v="0"/>
  </r>
  <r>
    <s v="ORD1099"/>
    <x v="89"/>
    <x v="97"/>
    <x v="2"/>
    <s v="Ibadan"/>
    <x v="1"/>
    <s v="Coffee Maker"/>
    <n v="1"/>
    <n v="114.38"/>
    <n v="0"/>
    <x v="98"/>
    <n v="23.08"/>
    <x v="0"/>
    <s v="Ifeanyi Okoro"/>
    <x v="3"/>
    <x v="0"/>
  </r>
  <r>
    <s v="ORD1100"/>
    <x v="90"/>
    <x v="98"/>
    <x v="1"/>
    <s v="Enugu"/>
    <x v="2"/>
    <s v="Denim Jeans"/>
    <n v="4"/>
    <n v="106.32"/>
    <n v="20"/>
    <x v="99"/>
    <n v="18.02"/>
    <x v="0"/>
    <s v="Yakubu Sani"/>
    <x v="2"/>
    <x v="0"/>
  </r>
  <r>
    <s v="ORD1101"/>
    <x v="91"/>
    <x v="99"/>
    <x v="4"/>
    <s v="Abuja"/>
    <x v="1"/>
    <s v="Coffee Maker"/>
    <n v="3"/>
    <n v="202.42"/>
    <n v="5"/>
    <x v="100"/>
    <n v="4.13"/>
    <x v="0"/>
    <s v="Ngozi Eze"/>
    <x v="0"/>
    <x v="0"/>
  </r>
  <r>
    <s v="ORD1102"/>
    <x v="92"/>
    <x v="100"/>
    <x v="4"/>
    <s v="Jos"/>
    <x v="0"/>
    <s v="Bluetooth Speaker"/>
    <n v="4"/>
    <n v="122.45"/>
    <n v="15"/>
    <x v="101"/>
    <n v="23.05"/>
    <x v="0"/>
    <s v="Aisha Bello"/>
    <x v="2"/>
    <x v="3"/>
  </r>
  <r>
    <s v="ORD1103"/>
    <x v="93"/>
    <x v="47"/>
    <x v="4"/>
    <s v="Abuja"/>
    <x v="2"/>
    <s v="Leather Belt"/>
    <n v="8"/>
    <n v="119.17"/>
    <n v="0"/>
    <x v="102"/>
    <n v="0"/>
    <x v="1"/>
    <s v="Femi Adeyemi"/>
    <x v="2"/>
    <x v="0"/>
  </r>
  <r>
    <s v="ORD1104"/>
    <x v="94"/>
    <x v="101"/>
    <x v="0"/>
    <s v="Calabar"/>
    <x v="1"/>
    <s v="Storage Containers"/>
    <n v="4"/>
    <n v="127.33"/>
    <n v="0"/>
    <x v="103"/>
    <n v="13.23"/>
    <x v="0"/>
    <s v="Femi Adeyemi"/>
    <x v="0"/>
    <x v="3"/>
  </r>
  <r>
    <s v="ORD1105"/>
    <x v="95"/>
    <x v="102"/>
    <x v="3"/>
    <s v="Kaduna"/>
    <x v="0"/>
    <s v="Power Bank"/>
    <n v="4"/>
    <n v="21.65"/>
    <n v="1"/>
    <x v="104"/>
    <n v="0"/>
    <x v="1"/>
    <s v="Grace Nwosu"/>
    <x v="3"/>
    <x v="0"/>
  </r>
  <r>
    <s v="ORD1106"/>
    <x v="44"/>
    <x v="103"/>
    <x v="1"/>
    <s v="Owerri"/>
    <x v="2"/>
    <s v="Men's T-Shirt"/>
    <n v="7"/>
    <n v="202.51"/>
    <n v="0"/>
    <x v="105"/>
    <n v="11.34"/>
    <x v="0"/>
    <s v="Yakubu Sani"/>
    <x v="2"/>
    <x v="0"/>
  </r>
  <r>
    <s v="ORD1107"/>
    <x v="96"/>
    <x v="104"/>
    <x v="3"/>
    <s v="Kano"/>
    <x v="0"/>
    <s v="Power Bank"/>
    <n v="8"/>
    <n v="18.75"/>
    <n v="20"/>
    <x v="106"/>
    <n v="15.04"/>
    <x v="0"/>
    <s v="Halima Yusuf"/>
    <x v="4"/>
    <x v="0"/>
  </r>
  <r>
    <s v="ORD1108"/>
    <x v="97"/>
    <x v="105"/>
    <x v="1"/>
    <s v="Owerri"/>
    <x v="3"/>
    <s v="Shampoo 500Ml"/>
    <n v="6"/>
    <n v="8.84"/>
    <n v="0"/>
    <x v="107"/>
    <n v="0"/>
    <x v="1"/>
    <s v="Ifeanyi Okoro"/>
    <x v="1"/>
    <x v="0"/>
  </r>
  <r>
    <s v="ORD1109"/>
    <x v="97"/>
    <x v="106"/>
    <x v="3"/>
    <s v="Kaduna"/>
    <x v="0"/>
    <s v="Bluetooth Speaker"/>
    <n v="2"/>
    <n v="88.45"/>
    <n v="0"/>
    <x v="108"/>
    <n v="0"/>
    <x v="1"/>
    <s v="Halima Yusuf"/>
    <x v="4"/>
    <x v="0"/>
  </r>
  <r>
    <s v="ORD1110"/>
    <x v="98"/>
    <x v="107"/>
    <x v="2"/>
    <s v="Ibadan"/>
    <x v="3"/>
    <s v="Electric Shaver"/>
    <n v="2"/>
    <n v="25.1"/>
    <n v="5"/>
    <x v="109"/>
    <n v="8.1999999999999993"/>
    <x v="0"/>
    <s v="Chidi Obinna"/>
    <x v="2"/>
    <x v="1"/>
  </r>
  <r>
    <s v="ORD1111"/>
    <x v="64"/>
    <x v="108"/>
    <x v="4"/>
    <s v="Minna"/>
    <x v="4"/>
    <s v="Ballpoint Pens (Box)"/>
    <n v="6"/>
    <n v="140.78"/>
    <n v="10"/>
    <x v="110"/>
    <n v="0"/>
    <x v="1"/>
    <s v="Halima Yusuf"/>
    <x v="3"/>
    <x v="0"/>
  </r>
  <r>
    <s v="ORD1112"/>
    <x v="32"/>
    <x v="109"/>
    <x v="1"/>
    <s v="Enugu"/>
    <x v="1"/>
    <s v="Electric Kettle"/>
    <n v="5"/>
    <n v="108.17"/>
    <n v="5"/>
    <x v="111"/>
    <n v="16.260000000000002"/>
    <x v="0"/>
    <s v="Tunde Bakare"/>
    <x v="0"/>
    <x v="0"/>
  </r>
  <r>
    <s v="ORD1113"/>
    <x v="93"/>
    <x v="110"/>
    <x v="4"/>
    <s v="Abuja"/>
    <x v="2"/>
    <s v="Sunglasses"/>
    <n v="4"/>
    <n v="122.36"/>
    <n v="0"/>
    <x v="112"/>
    <n v="11.04"/>
    <x v="0"/>
    <s v="Yakubu Sani"/>
    <x v="1"/>
    <x v="1"/>
  </r>
  <r>
    <s v="ORD1114"/>
    <x v="99"/>
    <x v="111"/>
    <x v="4"/>
    <s v="Abuja"/>
    <x v="3"/>
    <s v="Shampoo 500Ml"/>
    <n v="8"/>
    <n v="236.03"/>
    <n v="15"/>
    <x v="113"/>
    <n v="10.67"/>
    <x v="0"/>
    <s v="Femi Adeyemi"/>
    <x v="4"/>
    <x v="0"/>
  </r>
  <r>
    <s v="ORD1115"/>
    <x v="100"/>
    <x v="112"/>
    <x v="4"/>
    <s v="Minna"/>
    <x v="4"/>
    <s v="Highlighter Set"/>
    <n v="6"/>
    <n v="176.9"/>
    <n v="15"/>
    <x v="114"/>
    <n v="11.19"/>
    <x v="0"/>
    <s v="Aisha Bello"/>
    <x v="3"/>
    <x v="1"/>
  </r>
  <r>
    <s v="ORD1116"/>
    <x v="31"/>
    <x v="113"/>
    <x v="3"/>
    <s v="Kaduna"/>
    <x v="2"/>
    <s v="Running Shoes"/>
    <n v="4"/>
    <n v="114.22"/>
    <n v="0"/>
    <x v="115"/>
    <n v="0"/>
    <x v="1"/>
    <s v="Ngozi Eze"/>
    <x v="0"/>
    <x v="0"/>
  </r>
  <r>
    <s v="ORD1117"/>
    <x v="101"/>
    <x v="48"/>
    <x v="0"/>
    <s v="Port Harcourt"/>
    <x v="2"/>
    <s v="Wool Scarf"/>
    <n v="8"/>
    <n v="83.13"/>
    <n v="10"/>
    <x v="116"/>
    <n v="0"/>
    <x v="1"/>
    <s v="Halima Yusuf"/>
    <x v="3"/>
    <x v="2"/>
  </r>
  <r>
    <s v="ORD1118"/>
    <x v="102"/>
    <x v="36"/>
    <x v="0"/>
    <s v="Uyo"/>
    <x v="1"/>
    <s v="Blender"/>
    <n v="7"/>
    <n v="101.92"/>
    <n v="10"/>
    <x v="117"/>
    <n v="0"/>
    <x v="1"/>
    <s v="Ngozi Eze"/>
    <x v="4"/>
    <x v="0"/>
  </r>
  <r>
    <s v="ORD1119"/>
    <x v="103"/>
    <x v="114"/>
    <x v="3"/>
    <s v="Sokoto"/>
    <x v="4"/>
    <s v="Highlighter Set"/>
    <n v="6"/>
    <n v="151.26"/>
    <n v="10"/>
    <x v="118"/>
    <n v="5.08"/>
    <x v="0"/>
    <s v="Aisha Bello"/>
    <x v="4"/>
    <x v="2"/>
  </r>
  <r>
    <s v="ORD1120"/>
    <x v="52"/>
    <x v="115"/>
    <x v="0"/>
    <s v="Port Harcourt"/>
    <x v="4"/>
    <s v="Clipboard"/>
    <n v="7"/>
    <n v="108.64"/>
    <n v="10"/>
    <x v="119"/>
    <n v="10.26"/>
    <x v="0"/>
    <s v="Grace Nwosu"/>
    <x v="2"/>
    <x v="0"/>
  </r>
  <r>
    <s v="ORD1121"/>
    <x v="104"/>
    <x v="116"/>
    <x v="4"/>
    <s v="Jos"/>
    <x v="4"/>
    <s v="Whiteboard Markers"/>
    <n v="7"/>
    <n v="178.98"/>
    <n v="10"/>
    <x v="120"/>
    <n v="19.62"/>
    <x v="0"/>
    <s v="Grace Nwosu"/>
    <x v="2"/>
    <x v="0"/>
  </r>
  <r>
    <s v="ORD1122"/>
    <x v="13"/>
    <x v="117"/>
    <x v="4"/>
    <s v="Jos"/>
    <x v="3"/>
    <s v="Shampoo 500Ml"/>
    <n v="8"/>
    <n v="138.86000000000001"/>
    <n v="20"/>
    <x v="121"/>
    <n v="19.84"/>
    <x v="0"/>
    <s v="Grace Nwosu"/>
    <x v="1"/>
    <x v="2"/>
  </r>
  <r>
    <s v="ORD1123"/>
    <x v="105"/>
    <x v="118"/>
    <x v="1"/>
    <s v="Owerri"/>
    <x v="3"/>
    <s v="Lip Balm Set"/>
    <n v="3"/>
    <n v="197.29"/>
    <n v="0"/>
    <x v="122"/>
    <n v="0"/>
    <x v="1"/>
    <s v="Chidi Obinna"/>
    <x v="4"/>
    <x v="0"/>
  </r>
  <r>
    <s v="ORD1124"/>
    <x v="106"/>
    <x v="119"/>
    <x v="2"/>
    <s v="Abeokuta"/>
    <x v="2"/>
    <s v="Denim Jeans"/>
    <n v="3"/>
    <n v="66.17"/>
    <n v="0"/>
    <x v="123"/>
    <n v="0"/>
    <x v="1"/>
    <s v="Grace Nwosu"/>
    <x v="0"/>
    <x v="0"/>
  </r>
  <r>
    <s v="ORD1125"/>
    <x v="40"/>
    <x v="120"/>
    <x v="1"/>
    <s v="Owerri"/>
    <x v="4"/>
    <s v="File Folders"/>
    <n v="2"/>
    <n v="184.08"/>
    <n v="0"/>
    <x v="124"/>
    <n v="8.52"/>
    <x v="0"/>
    <s v="Grace Nwosu"/>
    <x v="3"/>
    <x v="1"/>
  </r>
  <r>
    <s v="ORD1126"/>
    <x v="95"/>
    <x v="121"/>
    <x v="1"/>
    <s v="Aba"/>
    <x v="0"/>
    <s v="Wireless Mouse"/>
    <n v="8"/>
    <n v="8.99"/>
    <n v="20"/>
    <x v="125"/>
    <n v="8.3000000000000007"/>
    <x v="0"/>
    <s v="Femi Adeyemi"/>
    <x v="4"/>
    <x v="0"/>
  </r>
  <r>
    <s v="ORD1127"/>
    <x v="107"/>
    <x v="122"/>
    <x v="0"/>
    <s v="Uyo"/>
    <x v="4"/>
    <s v="Stapler"/>
    <n v="4"/>
    <n v="110.16"/>
    <n v="15"/>
    <x v="126"/>
    <n v="4.7699999999999996"/>
    <x v="0"/>
    <s v="Tunde Bakare"/>
    <x v="3"/>
    <x v="0"/>
  </r>
  <r>
    <s v="ORD1128"/>
    <x v="108"/>
    <x v="123"/>
    <x v="2"/>
    <s v="Osogbo"/>
    <x v="0"/>
    <s v="Bluetooth Speaker"/>
    <n v="5"/>
    <n v="38.6"/>
    <n v="0"/>
    <x v="127"/>
    <n v="16.45"/>
    <x v="0"/>
    <s v="Grace Nwosu"/>
    <x v="2"/>
    <x v="0"/>
  </r>
  <r>
    <s v="ORD1129"/>
    <x v="109"/>
    <x v="124"/>
    <x v="0"/>
    <s v="Calabar"/>
    <x v="0"/>
    <s v="Usb-C Charger"/>
    <n v="7"/>
    <n v="91.13"/>
    <n v="0"/>
    <x v="128"/>
    <n v="0"/>
    <x v="1"/>
    <s v="Aisha Bello"/>
    <x v="1"/>
    <x v="0"/>
  </r>
  <r>
    <s v="ORD1130"/>
    <x v="12"/>
    <x v="125"/>
    <x v="1"/>
    <s v="Aba"/>
    <x v="3"/>
    <s v="Hand Cream"/>
    <n v="7"/>
    <n v="77.41"/>
    <n v="0"/>
    <x v="129"/>
    <n v="23.48"/>
    <x v="0"/>
    <s v="Ifeanyi Okoro"/>
    <x v="0"/>
    <x v="0"/>
  </r>
  <r>
    <s v="ORD1131"/>
    <x v="15"/>
    <x v="126"/>
    <x v="1"/>
    <s v="Owerri"/>
    <x v="1"/>
    <s v="Dish Rack"/>
    <n v="2"/>
    <n v="9.09"/>
    <n v="0"/>
    <x v="130"/>
    <n v="0"/>
    <x v="1"/>
    <s v="Yakubu Sani"/>
    <x v="4"/>
    <x v="0"/>
  </r>
  <r>
    <s v="ORD1132"/>
    <x v="12"/>
    <x v="127"/>
    <x v="3"/>
    <s v="Sokoto"/>
    <x v="1"/>
    <s v="Cutting Board Set"/>
    <n v="2"/>
    <n v="80.989999999999995"/>
    <n v="0"/>
    <x v="131"/>
    <n v="0"/>
    <x v="1"/>
    <s v="Tunde Bakare"/>
    <x v="3"/>
    <x v="0"/>
  </r>
  <r>
    <s v="ORD1133"/>
    <x v="110"/>
    <x v="128"/>
    <x v="0"/>
    <s v="Uyo"/>
    <x v="1"/>
    <s v="Dish Rack"/>
    <n v="5"/>
    <n v="45.91"/>
    <n v="0"/>
    <x v="132"/>
    <n v="24.43"/>
    <x v="0"/>
    <s v="Ifeanyi Okoro"/>
    <x v="3"/>
    <x v="1"/>
  </r>
  <r>
    <s v="ORD1134"/>
    <x v="111"/>
    <x v="129"/>
    <x v="3"/>
    <s v="Kano"/>
    <x v="3"/>
    <s v="Face Wash"/>
    <n v="5"/>
    <n v="194.47"/>
    <n v="5"/>
    <x v="133"/>
    <n v="23.17"/>
    <x v="0"/>
    <s v="Tunde Bakare"/>
    <x v="2"/>
    <x v="1"/>
  </r>
  <r>
    <s v="ORD1135"/>
    <x v="11"/>
    <x v="130"/>
    <x v="2"/>
    <s v="Abeokuta"/>
    <x v="2"/>
    <s v="Running Shoes"/>
    <n v="6"/>
    <n v="71.459999999999994"/>
    <n v="20"/>
    <x v="134"/>
    <n v="21.43"/>
    <x v="0"/>
    <s v="Grace Nwosu"/>
    <x v="3"/>
    <x v="0"/>
  </r>
  <r>
    <s v="ORD1136"/>
    <x v="112"/>
    <x v="131"/>
    <x v="0"/>
    <s v="Uyo"/>
    <x v="3"/>
    <s v="Electric Shaver"/>
    <n v="4"/>
    <n v="118.66"/>
    <n v="10"/>
    <x v="135"/>
    <n v="21.31"/>
    <x v="0"/>
    <s v="Halima Yusuf"/>
    <x v="0"/>
    <x v="1"/>
  </r>
  <r>
    <s v="ORD1137"/>
    <x v="113"/>
    <x v="132"/>
    <x v="1"/>
    <s v="Aba"/>
    <x v="1"/>
    <s v="Cutting Board Set"/>
    <n v="7"/>
    <n v="125.55"/>
    <n v="5"/>
    <x v="136"/>
    <n v="0"/>
    <x v="1"/>
    <s v="Kemi Balogun"/>
    <x v="3"/>
    <x v="0"/>
  </r>
  <r>
    <s v="ORD1138"/>
    <x v="106"/>
    <x v="133"/>
    <x v="2"/>
    <s v="Ibadan"/>
    <x v="3"/>
    <s v="Hand Cream"/>
    <n v="3"/>
    <n v="63.01"/>
    <n v="0"/>
    <x v="137"/>
    <n v="5.78"/>
    <x v="0"/>
    <s v="Aisha Bello"/>
    <x v="4"/>
    <x v="0"/>
  </r>
  <r>
    <s v="ORD1139"/>
    <x v="0"/>
    <x v="134"/>
    <x v="0"/>
    <s v="Calabar"/>
    <x v="2"/>
    <s v="Wool Scarf"/>
    <n v="2"/>
    <n v="27.15"/>
    <n v="5"/>
    <x v="138"/>
    <n v="17.579999999999998"/>
    <x v="0"/>
    <s v="Kemi Balogun"/>
    <x v="2"/>
    <x v="2"/>
  </r>
  <r>
    <s v="ORD1140"/>
    <x v="114"/>
    <x v="135"/>
    <x v="2"/>
    <s v="Osogbo"/>
    <x v="3"/>
    <s v="Facial Cleanser"/>
    <n v="8"/>
    <n v="29.97"/>
    <n v="10"/>
    <x v="139"/>
    <n v="0"/>
    <x v="1"/>
    <s v="Ngozi Eze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70E6F-5EC1-4B72-8C28-2DDD34F295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9" firstHeaderRow="0" firstDataRow="1" firstDataCol="1"/>
  <pivotFields count="19">
    <pivotField showAll="0"/>
    <pivotField numFmtId="164" showAll="0">
      <items count="116">
        <item x="35"/>
        <item x="14"/>
        <item x="92"/>
        <item x="77"/>
        <item x="71"/>
        <item x="15"/>
        <item x="1"/>
        <item x="55"/>
        <item x="87"/>
        <item x="114"/>
        <item x="99"/>
        <item x="8"/>
        <item x="46"/>
        <item x="84"/>
        <item x="100"/>
        <item x="47"/>
        <item x="44"/>
        <item x="39"/>
        <item x="27"/>
        <item x="4"/>
        <item x="101"/>
        <item x="111"/>
        <item x="56"/>
        <item x="108"/>
        <item x="37"/>
        <item x="38"/>
        <item x="19"/>
        <item x="34"/>
        <item x="23"/>
        <item x="112"/>
        <item x="7"/>
        <item x="2"/>
        <item x="107"/>
        <item x="45"/>
        <item x="26"/>
        <item x="70"/>
        <item x="12"/>
        <item x="61"/>
        <item x="89"/>
        <item x="109"/>
        <item x="16"/>
        <item x="32"/>
        <item x="94"/>
        <item x="5"/>
        <item x="110"/>
        <item x="83"/>
        <item x="113"/>
        <item x="68"/>
        <item x="53"/>
        <item x="30"/>
        <item x="6"/>
        <item x="20"/>
        <item x="85"/>
        <item x="3"/>
        <item x="93"/>
        <item x="54"/>
        <item x="103"/>
        <item x="40"/>
        <item x="51"/>
        <item x="66"/>
        <item x="62"/>
        <item x="25"/>
        <item x="73"/>
        <item x="64"/>
        <item x="24"/>
        <item x="106"/>
        <item x="80"/>
        <item x="97"/>
        <item x="10"/>
        <item x="9"/>
        <item x="36"/>
        <item x="69"/>
        <item x="78"/>
        <item x="91"/>
        <item x="48"/>
        <item x="21"/>
        <item x="0"/>
        <item x="72"/>
        <item x="65"/>
        <item x="60"/>
        <item x="102"/>
        <item x="33"/>
        <item x="95"/>
        <item x="88"/>
        <item x="22"/>
        <item x="29"/>
        <item x="96"/>
        <item x="42"/>
        <item x="11"/>
        <item x="59"/>
        <item x="82"/>
        <item x="18"/>
        <item x="50"/>
        <item x="67"/>
        <item x="86"/>
        <item x="104"/>
        <item x="105"/>
        <item x="58"/>
        <item x="43"/>
        <item x="31"/>
        <item x="90"/>
        <item x="57"/>
        <item x="75"/>
        <item x="76"/>
        <item x="49"/>
        <item x="41"/>
        <item x="98"/>
        <item x="81"/>
        <item x="17"/>
        <item x="79"/>
        <item x="52"/>
        <item x="28"/>
        <item x="13"/>
        <item x="74"/>
        <item x="63"/>
        <item t="default"/>
      </items>
    </pivotField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41">
        <item x="130"/>
        <item x="56"/>
        <item x="14"/>
        <item x="30"/>
        <item x="15"/>
        <item x="109"/>
        <item x="107"/>
        <item x="138"/>
        <item x="8"/>
        <item x="34"/>
        <item x="125"/>
        <item x="104"/>
        <item x="50"/>
        <item x="0"/>
        <item x="27"/>
        <item x="86"/>
        <item x="74"/>
        <item x="58"/>
        <item x="98"/>
        <item x="62"/>
        <item x="95"/>
        <item x="106"/>
        <item x="67"/>
        <item x="18"/>
        <item x="31"/>
        <item x="92"/>
        <item x="64"/>
        <item x="131"/>
        <item x="65"/>
        <item x="20"/>
        <item x="9"/>
        <item x="108"/>
        <item x="10"/>
        <item x="75"/>
        <item x="11"/>
        <item x="137"/>
        <item x="26"/>
        <item x="127"/>
        <item x="123"/>
        <item x="37"/>
        <item x="1"/>
        <item x="21"/>
        <item x="90"/>
        <item x="132"/>
        <item x="82"/>
        <item x="47"/>
        <item x="41"/>
        <item x="48"/>
        <item x="78"/>
        <item x="139"/>
        <item x="52"/>
        <item x="61"/>
        <item x="89"/>
        <item x="94"/>
        <item x="57"/>
        <item x="13"/>
        <item x="25"/>
        <item x="5"/>
        <item x="36"/>
        <item x="71"/>
        <item x="39"/>
        <item x="124"/>
        <item x="88"/>
        <item x="4"/>
        <item x="23"/>
        <item x="73"/>
        <item x="99"/>
        <item x="53"/>
        <item x="134"/>
        <item x="19"/>
        <item x="126"/>
        <item x="49"/>
        <item x="115"/>
        <item x="84"/>
        <item x="6"/>
        <item x="135"/>
        <item x="112"/>
        <item x="101"/>
        <item x="3"/>
        <item x="24"/>
        <item x="63"/>
        <item x="103"/>
        <item x="111"/>
        <item x="129"/>
        <item x="80"/>
        <item x="51"/>
        <item x="35"/>
        <item x="81"/>
        <item x="96"/>
        <item x="122"/>
        <item x="46"/>
        <item x="59"/>
        <item x="100"/>
        <item x="29"/>
        <item x="45"/>
        <item x="128"/>
        <item x="116"/>
        <item x="117"/>
        <item x="38"/>
        <item x="119"/>
        <item x="33"/>
        <item x="40"/>
        <item x="87"/>
        <item x="97"/>
        <item x="110"/>
        <item x="136"/>
        <item x="32"/>
        <item x="118"/>
        <item x="60"/>
        <item x="102"/>
        <item x="133"/>
        <item x="85"/>
        <item x="76"/>
        <item x="54"/>
        <item x="114"/>
        <item x="17"/>
        <item x="43"/>
        <item x="121"/>
        <item x="16"/>
        <item x="69"/>
        <item x="93"/>
        <item x="42"/>
        <item x="120"/>
        <item x="79"/>
        <item x="2"/>
        <item x="12"/>
        <item x="68"/>
        <item x="105"/>
        <item x="28"/>
        <item x="22"/>
        <item x="55"/>
        <item x="44"/>
        <item x="70"/>
        <item x="83"/>
        <item x="72"/>
        <item x="7"/>
        <item x="77"/>
        <item x="91"/>
        <item x="66"/>
        <item x="113"/>
        <item t="default"/>
      </items>
    </pivotField>
    <pivotField showAll="0"/>
    <pivotField showAll="0"/>
    <pivotField showAll="0"/>
    <pivotField showAll="0"/>
    <pivotField dataField="1" showAll="0">
      <items count="6">
        <item m="1" x="4"/>
        <item x="2"/>
        <item x="0"/>
        <item x="1"/>
        <item x="3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 Total Sales" fld="10" baseField="0" baseItem="0" numFmtId="2"/>
    <dataField name="Count of Order Status" fld="15" subtotal="count" baseField="0" baseItem="0"/>
  </dataFields>
  <formats count="13"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3" type="button" dataOnly="0" labelOnly="1" outline="0" axis="axisRow" fieldPosition="0"/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3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FBADA-3795-4041-85AF-62B69F39C38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9" firstHeaderRow="0" firstDataRow="1" firstDataCol="1"/>
  <pivotFields count="19">
    <pivotField showAll="0"/>
    <pivotField numFmtId="164" showAll="0">
      <items count="116">
        <item x="35"/>
        <item x="14"/>
        <item x="92"/>
        <item x="77"/>
        <item x="71"/>
        <item x="15"/>
        <item x="1"/>
        <item x="55"/>
        <item x="87"/>
        <item x="114"/>
        <item x="99"/>
        <item x="8"/>
        <item x="46"/>
        <item x="84"/>
        <item x="100"/>
        <item x="47"/>
        <item x="44"/>
        <item x="39"/>
        <item x="27"/>
        <item x="4"/>
        <item x="101"/>
        <item x="111"/>
        <item x="56"/>
        <item x="108"/>
        <item x="37"/>
        <item x="38"/>
        <item x="19"/>
        <item x="34"/>
        <item x="23"/>
        <item x="112"/>
        <item x="7"/>
        <item x="2"/>
        <item x="107"/>
        <item x="45"/>
        <item x="26"/>
        <item x="70"/>
        <item x="12"/>
        <item x="61"/>
        <item x="89"/>
        <item x="109"/>
        <item x="16"/>
        <item x="32"/>
        <item x="94"/>
        <item x="5"/>
        <item x="110"/>
        <item x="83"/>
        <item x="113"/>
        <item x="68"/>
        <item x="53"/>
        <item x="30"/>
        <item x="6"/>
        <item x="20"/>
        <item x="85"/>
        <item x="3"/>
        <item x="93"/>
        <item x="54"/>
        <item x="103"/>
        <item x="40"/>
        <item x="51"/>
        <item x="66"/>
        <item x="62"/>
        <item x="25"/>
        <item x="73"/>
        <item x="64"/>
        <item x="24"/>
        <item x="106"/>
        <item x="80"/>
        <item x="97"/>
        <item x="10"/>
        <item x="9"/>
        <item x="36"/>
        <item x="69"/>
        <item x="78"/>
        <item x="91"/>
        <item x="48"/>
        <item x="21"/>
        <item x="0"/>
        <item x="72"/>
        <item x="65"/>
        <item x="60"/>
        <item x="102"/>
        <item x="33"/>
        <item x="95"/>
        <item x="88"/>
        <item x="22"/>
        <item x="29"/>
        <item x="96"/>
        <item x="42"/>
        <item x="11"/>
        <item x="59"/>
        <item x="82"/>
        <item x="18"/>
        <item x="50"/>
        <item x="67"/>
        <item x="86"/>
        <item x="104"/>
        <item x="105"/>
        <item x="58"/>
        <item x="43"/>
        <item x="31"/>
        <item x="90"/>
        <item x="57"/>
        <item x="75"/>
        <item x="76"/>
        <item x="49"/>
        <item x="41"/>
        <item x="98"/>
        <item x="81"/>
        <item x="17"/>
        <item x="79"/>
        <item x="52"/>
        <item x="28"/>
        <item x="13"/>
        <item x="74"/>
        <item x="63"/>
        <item t="default"/>
      </items>
    </pivotField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>
      <items count="6">
        <item m="1" x="4"/>
        <item x="2"/>
        <item x="0"/>
        <item x="1"/>
        <item x="3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10" baseField="0" baseItem="0" numFmtId="2"/>
    <dataField name="Count of Order " fld="15" subtotal="count" baseField="0" baseItem="0" numFmtId="1"/>
  </dataFields>
  <formats count="14">
    <format dxfId="28">
      <pivotArea outline="0" collapsedLevelsAreSubtotals="1" fieldPosition="0"/>
    </format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5" type="button" dataOnly="0" labelOnly="1" outline="0" axis="axisRow" fieldPosition="0"/>
    </format>
    <format dxfId="23">
      <pivotArea dataOnly="0" labelOnly="1" fieldPosition="0">
        <references count="1">
          <reference field="5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5" type="button" dataOnly="0" labelOnly="1" outline="0" axis="axisRow" fieldPosition="0"/>
    </format>
    <format dxfId="17">
      <pivotArea dataOnly="0" labelOnly="1" fieldPosition="0">
        <references count="1">
          <reference field="5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5D709-5D8E-41DD-8D6D-1657EDB046C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6" firstHeaderRow="0" firstDataRow="1" firstDataCol="1"/>
  <pivotFields count="19">
    <pivotField showAll="0"/>
    <pivotField numFmtId="164" showAll="0">
      <items count="116">
        <item x="35"/>
        <item x="14"/>
        <item x="92"/>
        <item x="77"/>
        <item x="71"/>
        <item x="15"/>
        <item x="1"/>
        <item x="55"/>
        <item x="87"/>
        <item x="114"/>
        <item x="99"/>
        <item x="8"/>
        <item x="46"/>
        <item x="84"/>
        <item x="100"/>
        <item x="47"/>
        <item x="44"/>
        <item x="39"/>
        <item x="27"/>
        <item x="4"/>
        <item x="101"/>
        <item x="111"/>
        <item x="56"/>
        <item x="108"/>
        <item x="37"/>
        <item x="38"/>
        <item x="19"/>
        <item x="34"/>
        <item x="23"/>
        <item x="112"/>
        <item x="7"/>
        <item x="2"/>
        <item x="107"/>
        <item x="45"/>
        <item x="26"/>
        <item x="70"/>
        <item x="12"/>
        <item x="61"/>
        <item x="89"/>
        <item x="109"/>
        <item x="16"/>
        <item x="32"/>
        <item x="94"/>
        <item x="5"/>
        <item x="110"/>
        <item x="83"/>
        <item x="113"/>
        <item x="68"/>
        <item x="53"/>
        <item x="30"/>
        <item x="6"/>
        <item x="20"/>
        <item x="85"/>
        <item x="3"/>
        <item x="93"/>
        <item x="54"/>
        <item x="103"/>
        <item x="40"/>
        <item x="51"/>
        <item x="66"/>
        <item x="62"/>
        <item x="25"/>
        <item x="73"/>
        <item x="64"/>
        <item x="24"/>
        <item x="106"/>
        <item x="80"/>
        <item x="97"/>
        <item x="10"/>
        <item x="9"/>
        <item x="36"/>
        <item x="69"/>
        <item x="78"/>
        <item x="91"/>
        <item x="48"/>
        <item x="21"/>
        <item x="0"/>
        <item x="72"/>
        <item x="65"/>
        <item x="60"/>
        <item x="102"/>
        <item x="33"/>
        <item x="95"/>
        <item x="88"/>
        <item x="22"/>
        <item x="29"/>
        <item x="96"/>
        <item x="42"/>
        <item x="11"/>
        <item x="59"/>
        <item x="82"/>
        <item x="18"/>
        <item x="50"/>
        <item x="67"/>
        <item x="86"/>
        <item x="104"/>
        <item x="105"/>
        <item x="58"/>
        <item x="43"/>
        <item x="31"/>
        <item x="90"/>
        <item x="57"/>
        <item x="75"/>
        <item x="76"/>
        <item x="49"/>
        <item x="41"/>
        <item x="98"/>
        <item x="81"/>
        <item x="17"/>
        <item x="79"/>
        <item x="52"/>
        <item x="28"/>
        <item x="13"/>
        <item x="74"/>
        <item x="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4">
        <item x="1"/>
        <item m="1" x="2"/>
        <item x="0"/>
        <item t="default"/>
      </items>
    </pivotField>
    <pivotField showAll="0"/>
    <pivotField showAll="0"/>
    <pivotField dataField="1" showAll="0">
      <items count="6">
        <item m="1" x="4"/>
        <item x="2"/>
        <item x="0"/>
        <item x="1"/>
        <item x="3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2"/>
  </rowFields>
  <rowItems count="3"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Total Sales" fld="10" baseField="0" baseItem="0" numFmtId="2"/>
    <dataField name="Average of Discount (%)" fld="9" subtotal="average" baseField="12" baseItem="2"/>
    <dataField name="Count of Order " fld="15" subtotal="count" baseField="12" baseItem="0" numFmtId="1"/>
  </dataFields>
  <formats count="14">
    <format dxfId="14">
      <pivotArea outline="0" collapsedLevelsAreSubtotals="1" fieldPosition="0"/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2" type="button" dataOnly="0" labelOnly="1" outline="0" axis="axisRow" fieldPosition="0"/>
    </format>
    <format dxfId="9">
      <pivotArea dataOnly="0" labelOnly="1" fieldPosition="0">
        <references count="1">
          <reference field="12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2" type="button" dataOnly="0" labelOnly="1" outline="0" axis="axisRow" fieldPosition="0"/>
    </format>
    <format dxfId="3">
      <pivotArea dataOnly="0" labelOnly="1" fieldPosition="0">
        <references count="1">
          <reference field="12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6"/>
  <sheetViews>
    <sheetView zoomScaleNormal="100" workbookViewId="0">
      <selection activeCell="I11" sqref="I11"/>
    </sheetView>
  </sheetViews>
  <sheetFormatPr defaultColWidth="8.6328125" defaultRowHeight="14.5" x14ac:dyDescent="0.35"/>
  <cols>
    <col min="1" max="1" width="12" customWidth="1"/>
    <col min="2" max="2" width="14" style="3" customWidth="1"/>
    <col min="3" max="3" width="20" customWidth="1"/>
    <col min="4" max="4" width="10" customWidth="1"/>
    <col min="5" max="5" width="14" customWidth="1"/>
    <col min="6" max="6" width="18" customWidth="1"/>
    <col min="7" max="7" width="26" customWidth="1"/>
    <col min="8" max="8" width="10" customWidth="1"/>
    <col min="9" max="10" width="12" customWidth="1"/>
    <col min="11" max="13" width="13" customWidth="1"/>
    <col min="14" max="14" width="18" customWidth="1"/>
    <col min="15" max="15" width="16" customWidth="1"/>
    <col min="16" max="16" width="14" customWidth="1"/>
  </cols>
  <sheetData>
    <row r="1" spans="1:16" x14ac:dyDescent="0.35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10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</v>
      </c>
      <c r="I2" s="2">
        <v>178.65</v>
      </c>
      <c r="J2" s="2">
        <v>15</v>
      </c>
      <c r="K2" s="2"/>
      <c r="L2" s="2">
        <v>0</v>
      </c>
      <c r="M2" s="2" t="s">
        <v>23</v>
      </c>
      <c r="N2" s="2" t="s">
        <v>24</v>
      </c>
      <c r="O2" s="2" t="s">
        <v>25</v>
      </c>
      <c r="P2" s="2" t="s">
        <v>26</v>
      </c>
    </row>
    <row r="3" spans="1:16" x14ac:dyDescent="0.35">
      <c r="A3" s="2" t="s">
        <v>27</v>
      </c>
      <c r="B3" s="10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>
        <v>1</v>
      </c>
      <c r="I3" s="2">
        <v>167.17</v>
      </c>
      <c r="J3" s="2">
        <v>0</v>
      </c>
      <c r="K3" s="2">
        <v>167.17</v>
      </c>
      <c r="L3" s="2">
        <v>17.559999999999999</v>
      </c>
      <c r="M3" s="2" t="s">
        <v>34</v>
      </c>
      <c r="N3" s="2" t="s">
        <v>35</v>
      </c>
      <c r="O3" s="2" t="s">
        <v>36</v>
      </c>
      <c r="P3" s="2" t="s">
        <v>26</v>
      </c>
    </row>
    <row r="4" spans="1:16" x14ac:dyDescent="0.35">
      <c r="A4" s="2" t="s">
        <v>37</v>
      </c>
      <c r="B4" s="10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>
        <v>8</v>
      </c>
      <c r="I4" s="2">
        <v>226.47</v>
      </c>
      <c r="J4" s="2">
        <v>0</v>
      </c>
      <c r="K4" s="2">
        <v>1811.76</v>
      </c>
      <c r="L4" s="2">
        <v>0</v>
      </c>
      <c r="M4" s="2" t="s">
        <v>23</v>
      </c>
      <c r="N4" s="2" t="s">
        <v>44</v>
      </c>
      <c r="O4" s="2" t="s">
        <v>45</v>
      </c>
      <c r="P4" s="2" t="s">
        <v>46</v>
      </c>
    </row>
    <row r="5" spans="1:16" x14ac:dyDescent="0.35">
      <c r="A5" s="2" t="s">
        <v>47</v>
      </c>
      <c r="B5" s="10" t="s">
        <v>48</v>
      </c>
      <c r="C5" s="2" t="s">
        <v>49</v>
      </c>
      <c r="D5" s="2" t="s">
        <v>50</v>
      </c>
      <c r="E5" s="2" t="s">
        <v>51</v>
      </c>
      <c r="F5" s="2" t="s">
        <v>21</v>
      </c>
      <c r="G5" s="2" t="s">
        <v>52</v>
      </c>
      <c r="H5" s="2">
        <v>5</v>
      </c>
      <c r="I5" s="2">
        <v>75.510000000000005</v>
      </c>
      <c r="J5" s="2">
        <v>0</v>
      </c>
      <c r="K5" s="2">
        <v>377.55</v>
      </c>
      <c r="L5" s="2">
        <v>0</v>
      </c>
      <c r="M5" s="2" t="s">
        <v>53</v>
      </c>
      <c r="N5" s="2" t="s">
        <v>54</v>
      </c>
      <c r="O5" s="2" t="s">
        <v>55</v>
      </c>
      <c r="P5" s="2" t="s">
        <v>56</v>
      </c>
    </row>
    <row r="6" spans="1:16" x14ac:dyDescent="0.35">
      <c r="A6" s="2" t="s">
        <v>57</v>
      </c>
      <c r="B6" s="10" t="s">
        <v>58</v>
      </c>
      <c r="C6" s="2" t="s">
        <v>59</v>
      </c>
      <c r="D6" s="2" t="s">
        <v>60</v>
      </c>
      <c r="E6" s="2" t="s">
        <v>61</v>
      </c>
      <c r="F6" s="2" t="s">
        <v>42</v>
      </c>
      <c r="G6" s="2" t="s">
        <v>62</v>
      </c>
      <c r="H6" s="2">
        <v>5</v>
      </c>
      <c r="I6" s="2">
        <v>249.37</v>
      </c>
      <c r="J6" s="2">
        <v>20</v>
      </c>
      <c r="K6" s="2">
        <v>1246.8499999999999</v>
      </c>
      <c r="L6" s="2">
        <v>10.24</v>
      </c>
      <c r="M6" s="2" t="s">
        <v>63</v>
      </c>
      <c r="N6" s="2" t="s">
        <v>24</v>
      </c>
      <c r="O6" s="2" t="s">
        <v>64</v>
      </c>
      <c r="P6" s="2" t="s">
        <v>65</v>
      </c>
    </row>
    <row r="7" spans="1:16" x14ac:dyDescent="0.35">
      <c r="A7" s="2" t="s">
        <v>66</v>
      </c>
      <c r="B7" s="10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>
        <v>7</v>
      </c>
      <c r="I7" s="2">
        <v>125.55</v>
      </c>
      <c r="J7" s="2">
        <v>5</v>
      </c>
      <c r="K7" s="2">
        <v>878.85</v>
      </c>
      <c r="L7" s="2">
        <v>0</v>
      </c>
      <c r="M7" s="2" t="s">
        <v>73</v>
      </c>
      <c r="N7" s="2" t="s">
        <v>24</v>
      </c>
      <c r="O7" s="2" t="s">
        <v>64</v>
      </c>
      <c r="P7" s="2" t="s">
        <v>26</v>
      </c>
    </row>
    <row r="8" spans="1:16" x14ac:dyDescent="0.35">
      <c r="A8" s="2" t="s">
        <v>74</v>
      </c>
      <c r="B8" s="10" t="s">
        <v>75</v>
      </c>
      <c r="C8" s="2" t="s">
        <v>76</v>
      </c>
      <c r="D8" s="2" t="s">
        <v>40</v>
      </c>
      <c r="E8" s="2" t="s">
        <v>51</v>
      </c>
      <c r="F8" s="2" t="s">
        <v>42</v>
      </c>
      <c r="G8" s="2" t="s">
        <v>77</v>
      </c>
      <c r="H8" s="2">
        <v>7</v>
      </c>
      <c r="I8" s="2">
        <v>249.9</v>
      </c>
      <c r="J8" s="2">
        <v>0</v>
      </c>
      <c r="K8" s="2">
        <v>1749.3</v>
      </c>
      <c r="L8" s="2">
        <v>0</v>
      </c>
      <c r="M8" s="2" t="s">
        <v>73</v>
      </c>
      <c r="N8" s="2" t="s">
        <v>78</v>
      </c>
      <c r="O8" s="2" t="s">
        <v>64</v>
      </c>
      <c r="P8" s="2" t="s">
        <v>46</v>
      </c>
    </row>
    <row r="9" spans="1:16" x14ac:dyDescent="0.35">
      <c r="A9" s="2" t="s">
        <v>79</v>
      </c>
      <c r="B9" s="10" t="s">
        <v>80</v>
      </c>
      <c r="C9" s="2" t="s">
        <v>81</v>
      </c>
      <c r="D9" s="2" t="s">
        <v>69</v>
      </c>
      <c r="E9" s="2" t="s">
        <v>82</v>
      </c>
      <c r="F9" s="2" t="s">
        <v>32</v>
      </c>
      <c r="G9" s="2" t="s">
        <v>83</v>
      </c>
      <c r="H9" s="2">
        <v>7</v>
      </c>
      <c r="I9" s="2">
        <v>212.06</v>
      </c>
      <c r="J9" s="2">
        <v>0</v>
      </c>
      <c r="K9" s="2">
        <v>1484.42</v>
      </c>
      <c r="L9" s="2">
        <v>9.11</v>
      </c>
      <c r="M9" s="2" t="s">
        <v>63</v>
      </c>
      <c r="N9" s="2" t="s">
        <v>84</v>
      </c>
      <c r="O9" s="2" t="s">
        <v>85</v>
      </c>
      <c r="P9" s="2" t="s">
        <v>65</v>
      </c>
    </row>
    <row r="10" spans="1:16" x14ac:dyDescent="0.35">
      <c r="A10" s="2" t="s">
        <v>86</v>
      </c>
      <c r="B10" s="10" t="s">
        <v>87</v>
      </c>
      <c r="C10" s="2" t="s">
        <v>88</v>
      </c>
      <c r="D10" s="2" t="s">
        <v>89</v>
      </c>
      <c r="E10" s="2" t="s">
        <v>90</v>
      </c>
      <c r="F10" s="2" t="s">
        <v>32</v>
      </c>
      <c r="G10" s="2" t="s">
        <v>91</v>
      </c>
      <c r="H10" s="2">
        <v>4</v>
      </c>
      <c r="I10" s="2">
        <v>21.81</v>
      </c>
      <c r="J10" s="2">
        <v>0</v>
      </c>
      <c r="K10" s="2">
        <v>87.24</v>
      </c>
      <c r="L10" s="2">
        <v>4.53</v>
      </c>
      <c r="M10" s="2" t="s">
        <v>34</v>
      </c>
      <c r="N10" s="2" t="s">
        <v>78</v>
      </c>
      <c r="O10" s="2" t="s">
        <v>55</v>
      </c>
      <c r="P10" s="2" t="s">
        <v>92</v>
      </c>
    </row>
    <row r="11" spans="1:16" x14ac:dyDescent="0.35">
      <c r="A11" s="2" t="s">
        <v>93</v>
      </c>
      <c r="B11" s="10" t="s">
        <v>94</v>
      </c>
      <c r="C11" s="2" t="s">
        <v>95</v>
      </c>
      <c r="D11" s="2" t="s">
        <v>96</v>
      </c>
      <c r="E11" s="2" t="s">
        <v>82</v>
      </c>
      <c r="F11" s="2" t="s">
        <v>21</v>
      </c>
      <c r="G11" s="2" t="s">
        <v>97</v>
      </c>
      <c r="H11" s="2">
        <v>4</v>
      </c>
      <c r="I11" s="2">
        <v>124.62</v>
      </c>
      <c r="J11" s="2"/>
      <c r="K11" s="2">
        <v>498.48</v>
      </c>
      <c r="L11" s="2">
        <v>11.06</v>
      </c>
      <c r="M11" s="2" t="s">
        <v>34</v>
      </c>
      <c r="N11" s="2" t="s">
        <v>98</v>
      </c>
      <c r="O11" s="2" t="s">
        <v>55</v>
      </c>
      <c r="P11" s="2" t="s">
        <v>46</v>
      </c>
    </row>
    <row r="12" spans="1:16" x14ac:dyDescent="0.35">
      <c r="A12" s="2" t="s">
        <v>99</v>
      </c>
      <c r="B12" s="10" t="s">
        <v>100</v>
      </c>
      <c r="C12" s="2" t="s">
        <v>101</v>
      </c>
      <c r="D12" s="2" t="s">
        <v>40</v>
      </c>
      <c r="E12" s="2" t="s">
        <v>41</v>
      </c>
      <c r="F12" s="2" t="s">
        <v>71</v>
      </c>
      <c r="G12" s="2" t="s">
        <v>102</v>
      </c>
      <c r="H12" s="2">
        <v>2</v>
      </c>
      <c r="I12" s="2">
        <v>51.74</v>
      </c>
      <c r="J12" s="2">
        <v>15</v>
      </c>
      <c r="K12" s="2">
        <v>103.48</v>
      </c>
      <c r="L12" s="2">
        <v>0</v>
      </c>
      <c r="M12" s="2" t="s">
        <v>53</v>
      </c>
      <c r="N12" s="2" t="s">
        <v>103</v>
      </c>
      <c r="O12" s="2" t="s">
        <v>25</v>
      </c>
      <c r="P12" s="2" t="s">
        <v>65</v>
      </c>
    </row>
    <row r="13" spans="1:16" x14ac:dyDescent="0.35">
      <c r="A13" s="2" t="s">
        <v>104</v>
      </c>
      <c r="B13" s="10" t="s">
        <v>105</v>
      </c>
      <c r="C13" s="2" t="s">
        <v>106</v>
      </c>
      <c r="D13" s="2" t="s">
        <v>107</v>
      </c>
      <c r="E13" s="2" t="s">
        <v>108</v>
      </c>
      <c r="F13" s="2" t="s">
        <v>32</v>
      </c>
      <c r="G13" s="2" t="s">
        <v>109</v>
      </c>
      <c r="H13" s="2">
        <v>8</v>
      </c>
      <c r="I13" s="2">
        <v>119.17</v>
      </c>
      <c r="J13" s="2">
        <v>0</v>
      </c>
      <c r="K13" s="2">
        <v>953.36</v>
      </c>
      <c r="L13" s="2">
        <v>0</v>
      </c>
      <c r="M13" s="2" t="s">
        <v>53</v>
      </c>
      <c r="N13" s="2" t="s">
        <v>84</v>
      </c>
      <c r="O13" s="2" t="s">
        <v>25</v>
      </c>
      <c r="P13" s="2" t="s">
        <v>46</v>
      </c>
    </row>
    <row r="14" spans="1:16" x14ac:dyDescent="0.35">
      <c r="A14" s="2" t="s">
        <v>110</v>
      </c>
      <c r="B14" s="10" t="s">
        <v>111</v>
      </c>
      <c r="C14" s="2" t="s">
        <v>112</v>
      </c>
      <c r="D14" s="2" t="s">
        <v>113</v>
      </c>
      <c r="E14" s="2" t="s">
        <v>61</v>
      </c>
      <c r="F14" s="2" t="s">
        <v>71</v>
      </c>
      <c r="G14" s="2" t="s">
        <v>114</v>
      </c>
      <c r="H14" s="2">
        <v>1</v>
      </c>
      <c r="I14" s="2">
        <v>223.7</v>
      </c>
      <c r="J14" s="2">
        <v>20</v>
      </c>
      <c r="K14" s="2">
        <v>223.7</v>
      </c>
      <c r="L14" s="2">
        <v>0</v>
      </c>
      <c r="M14" s="2" t="s">
        <v>23</v>
      </c>
      <c r="N14" s="2" t="s">
        <v>115</v>
      </c>
      <c r="O14" s="2" t="s">
        <v>25</v>
      </c>
      <c r="P14" s="2" t="s">
        <v>65</v>
      </c>
    </row>
    <row r="15" spans="1:16" x14ac:dyDescent="0.35">
      <c r="A15" s="2" t="s">
        <v>116</v>
      </c>
      <c r="B15" s="10" t="s">
        <v>117</v>
      </c>
      <c r="C15" s="2" t="s">
        <v>118</v>
      </c>
      <c r="D15" s="2" t="s">
        <v>19</v>
      </c>
      <c r="E15" s="2" t="s">
        <v>119</v>
      </c>
      <c r="F15" s="2" t="s">
        <v>120</v>
      </c>
      <c r="G15" s="2" t="s">
        <v>121</v>
      </c>
      <c r="H15" s="2">
        <v>1</v>
      </c>
      <c r="I15" s="2">
        <v>61.09</v>
      </c>
      <c r="J15" s="2">
        <v>10</v>
      </c>
      <c r="K15" s="2">
        <v>61.09</v>
      </c>
      <c r="L15" s="2">
        <v>20.05</v>
      </c>
      <c r="M15" s="2" t="s">
        <v>34</v>
      </c>
      <c r="N15" s="2" t="s">
        <v>98</v>
      </c>
      <c r="O15" s="2" t="s">
        <v>85</v>
      </c>
      <c r="P15" s="2" t="s">
        <v>65</v>
      </c>
    </row>
    <row r="16" spans="1:16" x14ac:dyDescent="0.35">
      <c r="A16" s="2" t="s">
        <v>122</v>
      </c>
      <c r="B16" s="10" t="s">
        <v>123</v>
      </c>
      <c r="C16" s="2" t="s">
        <v>124</v>
      </c>
      <c r="D16" s="2" t="s">
        <v>125</v>
      </c>
      <c r="E16" s="2" t="s">
        <v>126</v>
      </c>
      <c r="F16" s="2" t="s">
        <v>120</v>
      </c>
      <c r="G16" s="2" t="s">
        <v>127</v>
      </c>
      <c r="H16" s="2">
        <v>3</v>
      </c>
      <c r="I16" s="2">
        <v>112.36</v>
      </c>
      <c r="J16" s="2">
        <v>0</v>
      </c>
      <c r="K16" s="2">
        <v>337.08</v>
      </c>
      <c r="L16" s="2">
        <v>5.58</v>
      </c>
      <c r="M16" s="2" t="s">
        <v>128</v>
      </c>
      <c r="N16" s="2" t="s">
        <v>54</v>
      </c>
      <c r="O16" s="2" t="s">
        <v>85</v>
      </c>
      <c r="P16" s="2" t="s">
        <v>65</v>
      </c>
    </row>
    <row r="17" spans="1:16" x14ac:dyDescent="0.35">
      <c r="A17" s="2" t="s">
        <v>129</v>
      </c>
      <c r="B17" s="10" t="s">
        <v>130</v>
      </c>
      <c r="C17" s="2" t="s">
        <v>131</v>
      </c>
      <c r="D17" s="2" t="s">
        <v>107</v>
      </c>
      <c r="E17" s="2" t="s">
        <v>119</v>
      </c>
      <c r="F17" s="2" t="s">
        <v>42</v>
      </c>
      <c r="G17" s="2" t="s">
        <v>43</v>
      </c>
      <c r="H17" s="2">
        <v>7</v>
      </c>
      <c r="I17" s="2">
        <v>115.38</v>
      </c>
      <c r="J17" s="2">
        <v>15</v>
      </c>
      <c r="K17" s="2">
        <v>807.66</v>
      </c>
      <c r="L17" s="2">
        <v>17.190000000000001</v>
      </c>
      <c r="M17" s="2" t="s">
        <v>63</v>
      </c>
      <c r="N17" s="2" t="s">
        <v>115</v>
      </c>
      <c r="O17" s="2" t="s">
        <v>132</v>
      </c>
      <c r="P17" s="2" t="s">
        <v>26</v>
      </c>
    </row>
    <row r="18" spans="1:16" x14ac:dyDescent="0.35">
      <c r="A18" s="2" t="s">
        <v>133</v>
      </c>
      <c r="B18" s="10" t="s">
        <v>134</v>
      </c>
      <c r="C18" s="2" t="s">
        <v>135</v>
      </c>
      <c r="D18" s="2" t="s">
        <v>89</v>
      </c>
      <c r="E18" s="2" t="s">
        <v>136</v>
      </c>
      <c r="F18" s="2" t="s">
        <v>120</v>
      </c>
      <c r="G18" s="2" t="s">
        <v>137</v>
      </c>
      <c r="H18" s="2">
        <v>4</v>
      </c>
      <c r="I18" s="2">
        <v>21.65</v>
      </c>
      <c r="J18" s="2"/>
      <c r="K18" s="2">
        <v>86.6</v>
      </c>
      <c r="L18" s="2">
        <v>0</v>
      </c>
      <c r="M18" s="2" t="s">
        <v>53</v>
      </c>
      <c r="N18" s="2" t="s">
        <v>35</v>
      </c>
      <c r="O18" s="2" t="s">
        <v>138</v>
      </c>
      <c r="P18" s="2" t="s">
        <v>65</v>
      </c>
    </row>
    <row r="19" spans="1:16" x14ac:dyDescent="0.35">
      <c r="A19" s="2" t="s">
        <v>139</v>
      </c>
      <c r="B19" s="10" t="s">
        <v>140</v>
      </c>
      <c r="C19" s="2" t="s">
        <v>141</v>
      </c>
      <c r="D19" s="2" t="s">
        <v>142</v>
      </c>
      <c r="E19" s="2" t="s">
        <v>82</v>
      </c>
      <c r="F19" s="2" t="s">
        <v>32</v>
      </c>
      <c r="G19" s="2" t="s">
        <v>33</v>
      </c>
      <c r="H19" s="2">
        <v>8</v>
      </c>
      <c r="I19" s="2">
        <v>192.28</v>
      </c>
      <c r="J19" s="2">
        <v>20</v>
      </c>
      <c r="K19" s="2">
        <v>1538.24</v>
      </c>
      <c r="L19" s="2">
        <v>0</v>
      </c>
      <c r="M19" s="2" t="s">
        <v>23</v>
      </c>
      <c r="N19" s="2" t="s">
        <v>24</v>
      </c>
      <c r="O19" s="2" t="s">
        <v>64</v>
      </c>
      <c r="P19" s="2" t="s">
        <v>26</v>
      </c>
    </row>
    <row r="20" spans="1:16" x14ac:dyDescent="0.35">
      <c r="A20" s="2" t="s">
        <v>143</v>
      </c>
      <c r="B20" s="10" t="s">
        <v>144</v>
      </c>
      <c r="C20" s="2" t="s">
        <v>145</v>
      </c>
      <c r="D20" s="2" t="s">
        <v>107</v>
      </c>
      <c r="E20" s="2" t="s">
        <v>119</v>
      </c>
      <c r="F20" s="2" t="s">
        <v>21</v>
      </c>
      <c r="G20" s="2" t="s">
        <v>97</v>
      </c>
      <c r="H20" s="2">
        <v>4</v>
      </c>
      <c r="I20" s="2">
        <v>23.62</v>
      </c>
      <c r="J20" s="2">
        <v>10</v>
      </c>
      <c r="K20" s="2">
        <v>94.48</v>
      </c>
      <c r="L20" s="2">
        <v>10.52</v>
      </c>
      <c r="M20" s="2" t="s">
        <v>63</v>
      </c>
      <c r="N20" s="2" t="s">
        <v>24</v>
      </c>
      <c r="O20" s="2" t="s">
        <v>132</v>
      </c>
      <c r="P20" s="2" t="s">
        <v>146</v>
      </c>
    </row>
    <row r="21" spans="1:16" x14ac:dyDescent="0.35">
      <c r="A21" s="2" t="s">
        <v>147</v>
      </c>
      <c r="B21" s="10" t="s">
        <v>148</v>
      </c>
      <c r="C21" s="2" t="s">
        <v>149</v>
      </c>
      <c r="D21" s="2" t="s">
        <v>150</v>
      </c>
      <c r="E21" s="2" t="s">
        <v>20</v>
      </c>
      <c r="F21" s="2" t="s">
        <v>32</v>
      </c>
      <c r="G21" s="2" t="s">
        <v>151</v>
      </c>
      <c r="H21" s="2">
        <v>6</v>
      </c>
      <c r="I21" s="2">
        <v>138.84</v>
      </c>
      <c r="J21" s="2">
        <v>0</v>
      </c>
      <c r="K21" s="2">
        <v>833.04</v>
      </c>
      <c r="L21" s="2">
        <v>0</v>
      </c>
      <c r="M21" s="2" t="s">
        <v>23</v>
      </c>
      <c r="N21" s="2" t="s">
        <v>152</v>
      </c>
      <c r="O21" s="2" t="s">
        <v>132</v>
      </c>
      <c r="P21" s="2" t="s">
        <v>26</v>
      </c>
    </row>
    <row r="22" spans="1:16" x14ac:dyDescent="0.35">
      <c r="A22" s="2" t="s">
        <v>153</v>
      </c>
      <c r="B22" s="10" t="s">
        <v>154</v>
      </c>
      <c r="C22" s="2" t="s">
        <v>155</v>
      </c>
      <c r="D22" s="2" t="s">
        <v>156</v>
      </c>
      <c r="E22" s="2" t="s">
        <v>136</v>
      </c>
      <c r="F22" s="2" t="s">
        <v>32</v>
      </c>
      <c r="G22" s="2" t="s">
        <v>157</v>
      </c>
      <c r="H22" s="2">
        <v>3</v>
      </c>
      <c r="I22" s="2">
        <v>197.7</v>
      </c>
      <c r="J22" s="2">
        <v>20</v>
      </c>
      <c r="K22" s="2">
        <v>593.1</v>
      </c>
      <c r="L22" s="2">
        <v>24.15</v>
      </c>
      <c r="M22" s="2" t="s">
        <v>128</v>
      </c>
      <c r="N22" s="2" t="s">
        <v>24</v>
      </c>
      <c r="O22" s="2" t="s">
        <v>132</v>
      </c>
      <c r="P22" s="2" t="s">
        <v>158</v>
      </c>
    </row>
    <row r="23" spans="1:16" x14ac:dyDescent="0.35">
      <c r="A23" s="2" t="s">
        <v>159</v>
      </c>
      <c r="B23" s="10" t="s">
        <v>160</v>
      </c>
      <c r="C23" s="2" t="s">
        <v>161</v>
      </c>
      <c r="D23" s="2" t="s">
        <v>113</v>
      </c>
      <c r="E23" s="2" t="s">
        <v>41</v>
      </c>
      <c r="F23" s="2" t="s">
        <v>71</v>
      </c>
      <c r="G23" s="2" t="s">
        <v>162</v>
      </c>
      <c r="H23" s="2">
        <v>7</v>
      </c>
      <c r="I23" s="2">
        <v>51.7</v>
      </c>
      <c r="J23" s="2">
        <v>0</v>
      </c>
      <c r="K23" s="2">
        <v>361.9</v>
      </c>
      <c r="L23" s="2">
        <v>21.26</v>
      </c>
      <c r="M23" s="2" t="s">
        <v>128</v>
      </c>
      <c r="N23" s="2" t="s">
        <v>103</v>
      </c>
      <c r="O23" s="2" t="s">
        <v>64</v>
      </c>
      <c r="P23" s="2" t="s">
        <v>46</v>
      </c>
    </row>
    <row r="24" spans="1:16" x14ac:dyDescent="0.35">
      <c r="A24" s="2" t="s">
        <v>163</v>
      </c>
      <c r="B24" s="10" t="s">
        <v>164</v>
      </c>
      <c r="C24" s="2" t="s">
        <v>165</v>
      </c>
      <c r="D24" s="2" t="s">
        <v>89</v>
      </c>
      <c r="E24" s="2" t="s">
        <v>166</v>
      </c>
      <c r="F24" s="2" t="s">
        <v>71</v>
      </c>
      <c r="G24" s="2" t="s">
        <v>167</v>
      </c>
      <c r="H24" s="2">
        <v>3</v>
      </c>
      <c r="I24" s="2">
        <v>63.44</v>
      </c>
      <c r="J24" s="2">
        <v>20</v>
      </c>
      <c r="K24" s="2">
        <v>190.32</v>
      </c>
      <c r="L24" s="2">
        <v>0</v>
      </c>
      <c r="M24" s="2" t="s">
        <v>53</v>
      </c>
      <c r="N24" s="2" t="s">
        <v>54</v>
      </c>
      <c r="O24" s="2" t="s">
        <v>132</v>
      </c>
      <c r="P24" s="2" t="s">
        <v>92</v>
      </c>
    </row>
    <row r="25" spans="1:16" x14ac:dyDescent="0.35">
      <c r="A25" s="2" t="s">
        <v>168</v>
      </c>
      <c r="B25" s="10" t="s">
        <v>169</v>
      </c>
      <c r="C25" s="2" t="s">
        <v>170</v>
      </c>
      <c r="D25" s="2" t="s">
        <v>171</v>
      </c>
      <c r="E25" s="2" t="s">
        <v>126</v>
      </c>
      <c r="F25" s="2" t="s">
        <v>21</v>
      </c>
      <c r="G25" s="2" t="s">
        <v>22</v>
      </c>
      <c r="H25" s="2">
        <v>7</v>
      </c>
      <c r="I25" s="2">
        <v>108.64</v>
      </c>
      <c r="J25" s="2">
        <v>10</v>
      </c>
      <c r="K25" s="2">
        <v>760.48</v>
      </c>
      <c r="L25" s="2">
        <v>10.26</v>
      </c>
      <c r="M25" s="2" t="s">
        <v>128</v>
      </c>
      <c r="N25" s="2" t="s">
        <v>35</v>
      </c>
      <c r="O25" s="2" t="s">
        <v>172</v>
      </c>
      <c r="P25" s="2" t="s">
        <v>46</v>
      </c>
    </row>
    <row r="26" spans="1:16" x14ac:dyDescent="0.35">
      <c r="A26" s="2" t="s">
        <v>173</v>
      </c>
      <c r="B26" s="10" t="s">
        <v>174</v>
      </c>
      <c r="C26" s="2" t="s">
        <v>175</v>
      </c>
      <c r="D26" s="2" t="s">
        <v>19</v>
      </c>
      <c r="E26" s="2" t="s">
        <v>108</v>
      </c>
      <c r="F26" s="2" t="s">
        <v>42</v>
      </c>
      <c r="G26" s="2" t="s">
        <v>176</v>
      </c>
      <c r="H26" s="2">
        <v>2</v>
      </c>
      <c r="I26" s="2">
        <v>232.63</v>
      </c>
      <c r="J26" s="2">
        <v>20</v>
      </c>
      <c r="K26" s="2">
        <v>465.26</v>
      </c>
      <c r="L26" s="2">
        <v>0</v>
      </c>
      <c r="M26" s="2" t="s">
        <v>53</v>
      </c>
      <c r="N26" s="2" t="s">
        <v>35</v>
      </c>
      <c r="O26" s="2" t="s">
        <v>25</v>
      </c>
      <c r="P26" s="2" t="s">
        <v>65</v>
      </c>
    </row>
    <row r="27" spans="1:16" x14ac:dyDescent="0.35">
      <c r="A27" s="2" t="s">
        <v>177</v>
      </c>
      <c r="B27" s="10" t="s">
        <v>178</v>
      </c>
      <c r="C27" s="2" t="s">
        <v>179</v>
      </c>
      <c r="D27" s="2" t="s">
        <v>96</v>
      </c>
      <c r="E27" s="2" t="s">
        <v>180</v>
      </c>
      <c r="F27" s="2" t="s">
        <v>21</v>
      </c>
      <c r="G27" s="2" t="s">
        <v>181</v>
      </c>
      <c r="H27" s="2">
        <v>4</v>
      </c>
      <c r="I27" s="2">
        <v>178.9</v>
      </c>
      <c r="J27" s="2">
        <v>5</v>
      </c>
      <c r="K27" s="2">
        <v>715.6</v>
      </c>
      <c r="L27" s="2">
        <v>0</v>
      </c>
      <c r="M27" s="2" t="s">
        <v>53</v>
      </c>
      <c r="N27" s="2" t="s">
        <v>84</v>
      </c>
      <c r="O27" s="2" t="s">
        <v>25</v>
      </c>
      <c r="P27" s="2" t="s">
        <v>56</v>
      </c>
    </row>
    <row r="28" spans="1:16" x14ac:dyDescent="0.35">
      <c r="A28" s="2" t="s">
        <v>182</v>
      </c>
      <c r="B28" s="10" t="s">
        <v>183</v>
      </c>
      <c r="C28" s="2" t="s">
        <v>184</v>
      </c>
      <c r="D28" s="2" t="s">
        <v>113</v>
      </c>
      <c r="E28" s="2" t="s">
        <v>41</v>
      </c>
      <c r="F28" s="2" t="s">
        <v>42</v>
      </c>
      <c r="G28" s="2" t="s">
        <v>185</v>
      </c>
      <c r="H28" s="2">
        <v>8</v>
      </c>
      <c r="I28" s="2">
        <v>29.97</v>
      </c>
      <c r="J28" s="2">
        <v>10</v>
      </c>
      <c r="K28" s="2">
        <v>239.76</v>
      </c>
      <c r="L28" s="2">
        <v>0</v>
      </c>
      <c r="M28" s="2" t="s">
        <v>53</v>
      </c>
      <c r="N28" s="2" t="s">
        <v>54</v>
      </c>
      <c r="O28" s="2" t="s">
        <v>172</v>
      </c>
      <c r="P28" s="2" t="s">
        <v>46</v>
      </c>
    </row>
    <row r="29" spans="1:16" x14ac:dyDescent="0.35">
      <c r="A29" s="2" t="s">
        <v>186</v>
      </c>
      <c r="B29" s="10" t="s">
        <v>187</v>
      </c>
      <c r="C29" s="2" t="s">
        <v>188</v>
      </c>
      <c r="D29" s="2" t="s">
        <v>156</v>
      </c>
      <c r="E29" s="2" t="s">
        <v>90</v>
      </c>
      <c r="F29" s="2" t="s">
        <v>71</v>
      </c>
      <c r="G29" s="2" t="s">
        <v>189</v>
      </c>
      <c r="H29" s="2">
        <v>8</v>
      </c>
      <c r="I29" s="2">
        <v>175.54</v>
      </c>
      <c r="J29" s="2">
        <v>10</v>
      </c>
      <c r="K29" s="2">
        <v>1404.32</v>
      </c>
      <c r="L29" s="2">
        <v>0</v>
      </c>
      <c r="M29" s="2" t="s">
        <v>23</v>
      </c>
      <c r="N29" s="2" t="s">
        <v>98</v>
      </c>
      <c r="O29" s="2" t="s">
        <v>138</v>
      </c>
      <c r="P29" s="2" t="s">
        <v>146</v>
      </c>
    </row>
    <row r="30" spans="1:16" x14ac:dyDescent="0.35">
      <c r="A30" s="2" t="s">
        <v>190</v>
      </c>
      <c r="B30" s="10" t="s">
        <v>191</v>
      </c>
      <c r="C30" s="2" t="s">
        <v>192</v>
      </c>
      <c r="D30" s="2" t="s">
        <v>142</v>
      </c>
      <c r="E30" s="2" t="s">
        <v>82</v>
      </c>
      <c r="F30" s="2" t="s">
        <v>42</v>
      </c>
      <c r="G30" s="2" t="s">
        <v>193</v>
      </c>
      <c r="H30" s="2">
        <v>3</v>
      </c>
      <c r="I30" s="2">
        <v>197.29</v>
      </c>
      <c r="J30" s="2">
        <v>0</v>
      </c>
      <c r="K30" s="2">
        <v>591.87</v>
      </c>
      <c r="L30" s="2">
        <v>0</v>
      </c>
      <c r="M30" s="2" t="s">
        <v>53</v>
      </c>
      <c r="N30" s="2" t="s">
        <v>152</v>
      </c>
      <c r="O30" s="2" t="s">
        <v>55</v>
      </c>
      <c r="P30" s="2" t="s">
        <v>65</v>
      </c>
    </row>
    <row r="31" spans="1:16" x14ac:dyDescent="0.35">
      <c r="A31" s="2" t="s">
        <v>194</v>
      </c>
      <c r="B31" s="10" t="s">
        <v>195</v>
      </c>
      <c r="C31" s="2" t="s">
        <v>196</v>
      </c>
      <c r="D31" s="2" t="s">
        <v>171</v>
      </c>
      <c r="E31" s="2" t="s">
        <v>126</v>
      </c>
      <c r="F31" s="2" t="s">
        <v>120</v>
      </c>
      <c r="G31" s="2" t="s">
        <v>197</v>
      </c>
      <c r="H31" s="2">
        <v>6</v>
      </c>
      <c r="I31" s="2">
        <v>196.68</v>
      </c>
      <c r="J31" s="2">
        <v>0</v>
      </c>
      <c r="K31" s="2">
        <v>1180.08</v>
      </c>
      <c r="L31" s="2">
        <v>0</v>
      </c>
      <c r="M31" s="2" t="s">
        <v>73</v>
      </c>
      <c r="N31" s="2" t="s">
        <v>115</v>
      </c>
      <c r="O31" s="2" t="s">
        <v>132</v>
      </c>
      <c r="P31" s="2" t="s">
        <v>65</v>
      </c>
    </row>
    <row r="32" spans="1:16" x14ac:dyDescent="0.35">
      <c r="A32" s="2" t="s">
        <v>198</v>
      </c>
      <c r="B32" s="10" t="s">
        <v>199</v>
      </c>
      <c r="C32" s="2" t="s">
        <v>200</v>
      </c>
      <c r="D32" s="2" t="s">
        <v>201</v>
      </c>
      <c r="E32" s="2" t="s">
        <v>202</v>
      </c>
      <c r="F32" s="2" t="s">
        <v>120</v>
      </c>
      <c r="G32" s="2" t="s">
        <v>203</v>
      </c>
      <c r="H32" s="2">
        <v>7</v>
      </c>
      <c r="I32" s="2">
        <v>12.79</v>
      </c>
      <c r="J32" s="2">
        <v>10</v>
      </c>
      <c r="K32" s="2">
        <v>89.53</v>
      </c>
      <c r="L32" s="2">
        <v>21.99</v>
      </c>
      <c r="M32" s="2" t="s">
        <v>34</v>
      </c>
      <c r="N32" s="2" t="s">
        <v>35</v>
      </c>
      <c r="O32" s="2" t="s">
        <v>85</v>
      </c>
      <c r="P32" s="2" t="s">
        <v>65</v>
      </c>
    </row>
    <row r="33" spans="1:16" x14ac:dyDescent="0.35">
      <c r="A33" s="2" t="s">
        <v>204</v>
      </c>
      <c r="B33" s="10" t="s">
        <v>205</v>
      </c>
      <c r="C33" s="2" t="s">
        <v>206</v>
      </c>
      <c r="D33" s="2" t="s">
        <v>171</v>
      </c>
      <c r="E33" s="2" t="s">
        <v>126</v>
      </c>
      <c r="F33" s="2" t="s">
        <v>71</v>
      </c>
      <c r="G33" s="2" t="s">
        <v>102</v>
      </c>
      <c r="H33" s="2">
        <v>6</v>
      </c>
      <c r="I33" s="2">
        <v>56.86</v>
      </c>
      <c r="J33" s="2">
        <v>15</v>
      </c>
      <c r="K33" s="2">
        <v>341.16</v>
      </c>
      <c r="L33" s="2">
        <v>0</v>
      </c>
      <c r="M33" s="2" t="s">
        <v>73</v>
      </c>
      <c r="N33" s="2" t="s">
        <v>103</v>
      </c>
      <c r="O33" s="2" t="s">
        <v>132</v>
      </c>
      <c r="P33" s="2" t="s">
        <v>207</v>
      </c>
    </row>
    <row r="34" spans="1:16" x14ac:dyDescent="0.35">
      <c r="A34" s="2" t="s">
        <v>208</v>
      </c>
      <c r="B34" s="10" t="s">
        <v>209</v>
      </c>
      <c r="C34" s="2" t="s">
        <v>210</v>
      </c>
      <c r="D34" s="2" t="s">
        <v>142</v>
      </c>
      <c r="E34" s="2" t="s">
        <v>82</v>
      </c>
      <c r="F34" s="2" t="s">
        <v>21</v>
      </c>
      <c r="G34" s="2" t="s">
        <v>211</v>
      </c>
      <c r="H34" s="2">
        <v>1</v>
      </c>
      <c r="I34" s="2">
        <v>27.61</v>
      </c>
      <c r="J34" s="2"/>
      <c r="K34" s="2">
        <v>27.61</v>
      </c>
      <c r="L34" s="2">
        <v>0</v>
      </c>
      <c r="M34" s="2" t="s">
        <v>23</v>
      </c>
      <c r="N34" s="2" t="s">
        <v>44</v>
      </c>
      <c r="O34" s="2" t="s">
        <v>172</v>
      </c>
      <c r="P34" s="2" t="s">
        <v>46</v>
      </c>
    </row>
    <row r="35" spans="1:16" x14ac:dyDescent="0.35">
      <c r="A35" s="2" t="s">
        <v>212</v>
      </c>
      <c r="B35" s="10" t="s">
        <v>213</v>
      </c>
      <c r="C35" s="2" t="s">
        <v>214</v>
      </c>
      <c r="D35" s="2" t="s">
        <v>30</v>
      </c>
      <c r="E35" s="2" t="s">
        <v>202</v>
      </c>
      <c r="F35" s="2" t="s">
        <v>21</v>
      </c>
      <c r="G35" s="2" t="s">
        <v>211</v>
      </c>
      <c r="H35" s="2">
        <v>4</v>
      </c>
      <c r="I35" s="2">
        <v>110.16</v>
      </c>
      <c r="J35" s="2">
        <v>15</v>
      </c>
      <c r="K35" s="2">
        <v>440.64</v>
      </c>
      <c r="L35" s="2">
        <v>4.7699999999999996</v>
      </c>
      <c r="M35" s="2" t="s">
        <v>63</v>
      </c>
      <c r="N35" s="2" t="s">
        <v>103</v>
      </c>
      <c r="O35" s="2" t="s">
        <v>64</v>
      </c>
      <c r="P35" s="2" t="s">
        <v>26</v>
      </c>
    </row>
    <row r="36" spans="1:16" x14ac:dyDescent="0.35">
      <c r="A36" s="2" t="s">
        <v>215</v>
      </c>
      <c r="B36" s="10" t="s">
        <v>216</v>
      </c>
      <c r="C36" s="2" t="s">
        <v>217</v>
      </c>
      <c r="D36" s="2" t="s">
        <v>156</v>
      </c>
      <c r="E36" s="2" t="s">
        <v>136</v>
      </c>
      <c r="F36" s="2" t="s">
        <v>32</v>
      </c>
      <c r="G36" s="2" t="s">
        <v>33</v>
      </c>
      <c r="H36" s="2">
        <v>3</v>
      </c>
      <c r="I36" s="2">
        <v>116.16</v>
      </c>
      <c r="J36" s="2">
        <v>10</v>
      </c>
      <c r="K36" s="2">
        <v>348.48</v>
      </c>
      <c r="L36" s="2">
        <v>0</v>
      </c>
      <c r="M36" s="2" t="s">
        <v>53</v>
      </c>
      <c r="N36" s="2" t="s">
        <v>78</v>
      </c>
      <c r="O36" s="2" t="s">
        <v>85</v>
      </c>
      <c r="P36" s="2" t="s">
        <v>92</v>
      </c>
    </row>
    <row r="37" spans="1:16" x14ac:dyDescent="0.35">
      <c r="A37" s="2" t="s">
        <v>218</v>
      </c>
      <c r="B37" s="10" t="s">
        <v>169</v>
      </c>
      <c r="C37" s="2" t="s">
        <v>219</v>
      </c>
      <c r="D37" s="2" t="s">
        <v>89</v>
      </c>
      <c r="E37" s="2" t="s">
        <v>136</v>
      </c>
      <c r="F37" s="2" t="s">
        <v>21</v>
      </c>
      <c r="G37" s="2" t="s">
        <v>220</v>
      </c>
      <c r="H37" s="2">
        <v>3</v>
      </c>
      <c r="I37" s="2">
        <v>193.4</v>
      </c>
      <c r="J37" s="2">
        <v>15</v>
      </c>
      <c r="K37" s="2">
        <v>580.20000000000005</v>
      </c>
      <c r="L37" s="2">
        <v>0</v>
      </c>
      <c r="M37" s="2" t="s">
        <v>73</v>
      </c>
      <c r="N37" s="2" t="s">
        <v>54</v>
      </c>
      <c r="O37" s="2" t="s">
        <v>36</v>
      </c>
      <c r="P37" s="2" t="s">
        <v>46</v>
      </c>
    </row>
    <row r="38" spans="1:16" x14ac:dyDescent="0.35">
      <c r="A38" s="2" t="s">
        <v>221</v>
      </c>
      <c r="B38" s="10" t="s">
        <v>222</v>
      </c>
      <c r="C38" s="2" t="s">
        <v>223</v>
      </c>
      <c r="D38" s="2" t="s">
        <v>19</v>
      </c>
      <c r="E38" s="2" t="s">
        <v>119</v>
      </c>
      <c r="F38" s="2" t="s">
        <v>32</v>
      </c>
      <c r="G38" s="2" t="s">
        <v>91</v>
      </c>
      <c r="H38" s="2">
        <v>5</v>
      </c>
      <c r="I38" s="2">
        <v>115.15</v>
      </c>
      <c r="J38" s="2">
        <v>0</v>
      </c>
      <c r="K38" s="2">
        <v>575.75</v>
      </c>
      <c r="L38" s="2">
        <v>0</v>
      </c>
      <c r="M38" s="2" t="s">
        <v>53</v>
      </c>
      <c r="N38" s="2" t="s">
        <v>24</v>
      </c>
      <c r="O38" s="2" t="s">
        <v>25</v>
      </c>
      <c r="P38" s="2" t="s">
        <v>56</v>
      </c>
    </row>
    <row r="39" spans="1:16" x14ac:dyDescent="0.35">
      <c r="A39" s="2" t="s">
        <v>224</v>
      </c>
      <c r="B39" s="10" t="s">
        <v>225</v>
      </c>
      <c r="C39" s="2" t="s">
        <v>226</v>
      </c>
      <c r="D39" s="2" t="s">
        <v>69</v>
      </c>
      <c r="E39" s="2" t="s">
        <v>180</v>
      </c>
      <c r="F39" s="2" t="s">
        <v>120</v>
      </c>
      <c r="G39" s="2" t="s">
        <v>227</v>
      </c>
      <c r="H39" s="2">
        <v>3</v>
      </c>
      <c r="I39" s="2">
        <v>36.65</v>
      </c>
      <c r="J39" s="2">
        <v>20</v>
      </c>
      <c r="K39" s="2">
        <v>109.95</v>
      </c>
      <c r="L39" s="2">
        <v>0</v>
      </c>
      <c r="M39" s="2" t="s">
        <v>73</v>
      </c>
      <c r="N39" s="2" t="s">
        <v>54</v>
      </c>
      <c r="O39" s="2" t="s">
        <v>64</v>
      </c>
      <c r="P39" s="2" t="s">
        <v>65</v>
      </c>
    </row>
    <row r="40" spans="1:16" x14ac:dyDescent="0.35">
      <c r="A40" s="2" t="s">
        <v>228</v>
      </c>
      <c r="B40" s="10" t="s">
        <v>229</v>
      </c>
      <c r="C40" s="2" t="s">
        <v>230</v>
      </c>
      <c r="D40" s="2" t="s">
        <v>107</v>
      </c>
      <c r="E40" s="2" t="s">
        <v>20</v>
      </c>
      <c r="F40" s="2" t="s">
        <v>21</v>
      </c>
      <c r="G40" s="2" t="s">
        <v>97</v>
      </c>
      <c r="H40" s="2">
        <v>7</v>
      </c>
      <c r="I40" s="2">
        <v>178.98</v>
      </c>
      <c r="J40" s="2">
        <v>10</v>
      </c>
      <c r="K40" s="2">
        <v>1252.8599999999999</v>
      </c>
      <c r="L40" s="2">
        <v>19.62</v>
      </c>
      <c r="M40" s="2" t="s">
        <v>34</v>
      </c>
      <c r="N40" s="2" t="s">
        <v>35</v>
      </c>
      <c r="O40" s="2" t="s">
        <v>25</v>
      </c>
      <c r="P40" s="2" t="s">
        <v>46</v>
      </c>
    </row>
    <row r="41" spans="1:16" x14ac:dyDescent="0.35">
      <c r="A41" s="2" t="s">
        <v>231</v>
      </c>
      <c r="B41" s="10" t="s">
        <v>232</v>
      </c>
      <c r="C41" s="2" t="s">
        <v>233</v>
      </c>
      <c r="D41" s="2" t="s">
        <v>107</v>
      </c>
      <c r="E41" s="2" t="s">
        <v>108</v>
      </c>
      <c r="F41" s="2" t="s">
        <v>71</v>
      </c>
      <c r="G41" s="2" t="s">
        <v>102</v>
      </c>
      <c r="H41" s="2">
        <v>8</v>
      </c>
      <c r="I41" s="2">
        <v>13.53</v>
      </c>
      <c r="J41" s="2">
        <v>0</v>
      </c>
      <c r="K41" s="2">
        <v>108.24</v>
      </c>
      <c r="L41" s="2">
        <v>0</v>
      </c>
      <c r="M41" s="2" t="s">
        <v>53</v>
      </c>
      <c r="N41" s="2" t="s">
        <v>35</v>
      </c>
      <c r="O41" s="2" t="s">
        <v>55</v>
      </c>
      <c r="P41" s="2" t="s">
        <v>65</v>
      </c>
    </row>
    <row r="42" spans="1:16" x14ac:dyDescent="0.35">
      <c r="A42" s="2" t="s">
        <v>234</v>
      </c>
      <c r="B42" s="10" t="s">
        <v>235</v>
      </c>
      <c r="C42" s="2" t="s">
        <v>236</v>
      </c>
      <c r="D42" s="2" t="s">
        <v>40</v>
      </c>
      <c r="E42" s="2" t="s">
        <v>61</v>
      </c>
      <c r="F42" s="2" t="s">
        <v>71</v>
      </c>
      <c r="G42" s="2" t="s">
        <v>237</v>
      </c>
      <c r="H42" s="2">
        <v>2</v>
      </c>
      <c r="I42" s="2">
        <v>133.75</v>
      </c>
      <c r="J42" s="2">
        <v>0</v>
      </c>
      <c r="K42" s="2">
        <v>267.5</v>
      </c>
      <c r="L42" s="2">
        <v>0</v>
      </c>
      <c r="M42" s="2" t="s">
        <v>23</v>
      </c>
      <c r="N42" s="2" t="s">
        <v>78</v>
      </c>
      <c r="O42" s="2" t="s">
        <v>64</v>
      </c>
      <c r="P42" s="2" t="s">
        <v>65</v>
      </c>
    </row>
    <row r="43" spans="1:16" x14ac:dyDescent="0.35">
      <c r="A43" s="2" t="s">
        <v>238</v>
      </c>
      <c r="B43" s="10" t="s">
        <v>239</v>
      </c>
      <c r="C43" s="2" t="s">
        <v>240</v>
      </c>
      <c r="D43" s="2" t="s">
        <v>125</v>
      </c>
      <c r="E43" s="2" t="s">
        <v>202</v>
      </c>
      <c r="F43" s="2" t="s">
        <v>42</v>
      </c>
      <c r="G43" s="2" t="s">
        <v>241</v>
      </c>
      <c r="H43" s="2">
        <v>4</v>
      </c>
      <c r="I43" s="2">
        <v>118.66</v>
      </c>
      <c r="J43" s="2">
        <v>10</v>
      </c>
      <c r="K43" s="2">
        <v>474.64</v>
      </c>
      <c r="L43" s="2">
        <v>21.31</v>
      </c>
      <c r="M43" s="2" t="s">
        <v>63</v>
      </c>
      <c r="N43" s="2" t="s">
        <v>115</v>
      </c>
      <c r="O43" s="2" t="s">
        <v>85</v>
      </c>
      <c r="P43" s="2" t="s">
        <v>92</v>
      </c>
    </row>
    <row r="44" spans="1:16" x14ac:dyDescent="0.35">
      <c r="A44" s="2" t="s">
        <v>242</v>
      </c>
      <c r="B44" s="10" t="s">
        <v>243</v>
      </c>
      <c r="C44" s="2" t="s">
        <v>244</v>
      </c>
      <c r="D44" s="2" t="s">
        <v>201</v>
      </c>
      <c r="E44" s="2" t="s">
        <v>126</v>
      </c>
      <c r="F44" s="2" t="s">
        <v>42</v>
      </c>
      <c r="G44" s="2" t="s">
        <v>193</v>
      </c>
      <c r="H44" s="2">
        <v>6</v>
      </c>
      <c r="I44" s="2">
        <v>26.25</v>
      </c>
      <c r="J44" s="2">
        <v>0</v>
      </c>
      <c r="K44" s="2">
        <v>157.5</v>
      </c>
      <c r="L44" s="2">
        <v>0</v>
      </c>
      <c r="M44" s="2" t="s">
        <v>73</v>
      </c>
      <c r="N44" s="2" t="s">
        <v>152</v>
      </c>
      <c r="O44" s="2" t="s">
        <v>55</v>
      </c>
      <c r="P44" s="2" t="s">
        <v>56</v>
      </c>
    </row>
    <row r="45" spans="1:16" x14ac:dyDescent="0.35">
      <c r="A45" s="2" t="s">
        <v>245</v>
      </c>
      <c r="B45" s="10" t="s">
        <v>246</v>
      </c>
      <c r="C45" s="2" t="s">
        <v>247</v>
      </c>
      <c r="D45" s="2" t="s">
        <v>96</v>
      </c>
      <c r="E45" s="2" t="s">
        <v>180</v>
      </c>
      <c r="F45" s="2" t="s">
        <v>21</v>
      </c>
      <c r="G45" s="2" t="s">
        <v>248</v>
      </c>
      <c r="H45" s="2">
        <v>1</v>
      </c>
      <c r="I45" s="2">
        <v>169.97</v>
      </c>
      <c r="J45" s="2">
        <v>0</v>
      </c>
      <c r="K45" s="2">
        <v>169.97</v>
      </c>
      <c r="L45" s="2">
        <v>0</v>
      </c>
      <c r="M45" s="2" t="s">
        <v>73</v>
      </c>
      <c r="N45" s="2" t="s">
        <v>84</v>
      </c>
      <c r="O45" s="2" t="s">
        <v>64</v>
      </c>
      <c r="P45" s="2" t="s">
        <v>26</v>
      </c>
    </row>
    <row r="46" spans="1:16" x14ac:dyDescent="0.35">
      <c r="A46" s="2" t="s">
        <v>249</v>
      </c>
      <c r="B46" s="10" t="s">
        <v>250</v>
      </c>
      <c r="C46" s="2" t="s">
        <v>251</v>
      </c>
      <c r="D46" s="2" t="s">
        <v>150</v>
      </c>
      <c r="E46" s="2" t="s">
        <v>20</v>
      </c>
      <c r="F46" s="2" t="s">
        <v>120</v>
      </c>
      <c r="G46" s="2" t="s">
        <v>252</v>
      </c>
      <c r="H46" s="2">
        <v>1</v>
      </c>
      <c r="I46" s="2">
        <v>116.09</v>
      </c>
      <c r="J46" s="2">
        <v>15</v>
      </c>
      <c r="K46" s="2">
        <v>116.09</v>
      </c>
      <c r="L46" s="2">
        <v>3.68</v>
      </c>
      <c r="M46" s="2" t="s">
        <v>128</v>
      </c>
      <c r="N46" s="2" t="s">
        <v>103</v>
      </c>
      <c r="O46" s="2" t="s">
        <v>85</v>
      </c>
      <c r="P46" s="2" t="s">
        <v>46</v>
      </c>
    </row>
    <row r="47" spans="1:16" x14ac:dyDescent="0.35">
      <c r="A47" s="2" t="s">
        <v>253</v>
      </c>
      <c r="B47" s="10" t="s">
        <v>254</v>
      </c>
      <c r="C47" s="2" t="s">
        <v>131</v>
      </c>
      <c r="D47" s="2" t="s">
        <v>107</v>
      </c>
      <c r="E47" s="2" t="s">
        <v>20</v>
      </c>
      <c r="F47" s="2" t="s">
        <v>120</v>
      </c>
      <c r="G47" s="2" t="s">
        <v>255</v>
      </c>
      <c r="H47" s="2">
        <v>3</v>
      </c>
      <c r="I47" s="2">
        <v>120.27</v>
      </c>
      <c r="J47" s="2">
        <v>0</v>
      </c>
      <c r="K47" s="2">
        <v>360.81</v>
      </c>
      <c r="L47" s="2">
        <v>4.41</v>
      </c>
      <c r="M47" s="2" t="s">
        <v>128</v>
      </c>
      <c r="N47" s="2" t="s">
        <v>44</v>
      </c>
      <c r="O47" s="2" t="s">
        <v>36</v>
      </c>
      <c r="P47" s="2" t="s">
        <v>46</v>
      </c>
    </row>
    <row r="48" spans="1:16" x14ac:dyDescent="0.35">
      <c r="A48" s="2" t="s">
        <v>256</v>
      </c>
      <c r="B48" s="10" t="s">
        <v>257</v>
      </c>
      <c r="C48" s="2" t="s">
        <v>258</v>
      </c>
      <c r="D48" s="2" t="s">
        <v>50</v>
      </c>
      <c r="E48" s="2" t="s">
        <v>61</v>
      </c>
      <c r="F48" s="2" t="s">
        <v>32</v>
      </c>
      <c r="G48" s="2" t="s">
        <v>91</v>
      </c>
      <c r="H48" s="2">
        <v>1</v>
      </c>
      <c r="I48" s="2">
        <v>185.24</v>
      </c>
      <c r="J48" s="2">
        <v>15</v>
      </c>
      <c r="K48" s="2">
        <v>185.24</v>
      </c>
      <c r="L48" s="2">
        <v>0</v>
      </c>
      <c r="M48" s="2" t="s">
        <v>23</v>
      </c>
      <c r="N48" s="2" t="s">
        <v>152</v>
      </c>
      <c r="O48" s="2" t="s">
        <v>64</v>
      </c>
      <c r="P48" s="2" t="s">
        <v>46</v>
      </c>
    </row>
    <row r="49" spans="1:16" x14ac:dyDescent="0.35">
      <c r="A49" s="2" t="s">
        <v>259</v>
      </c>
      <c r="B49" s="10" t="s">
        <v>260</v>
      </c>
      <c r="C49" s="2" t="s">
        <v>261</v>
      </c>
      <c r="D49" s="2" t="s">
        <v>96</v>
      </c>
      <c r="E49" s="2" t="s">
        <v>180</v>
      </c>
      <c r="F49" s="2" t="s">
        <v>71</v>
      </c>
      <c r="G49" s="2" t="s">
        <v>262</v>
      </c>
      <c r="H49" s="2">
        <v>5</v>
      </c>
      <c r="I49" s="2">
        <v>108.17</v>
      </c>
      <c r="J49" s="2">
        <v>5</v>
      </c>
      <c r="K49" s="2">
        <v>540.85</v>
      </c>
      <c r="L49" s="2">
        <v>16.260000000000002</v>
      </c>
      <c r="M49" s="2" t="s">
        <v>128</v>
      </c>
      <c r="N49" s="2" t="s">
        <v>103</v>
      </c>
      <c r="O49" s="2" t="s">
        <v>45</v>
      </c>
      <c r="P49" s="2" t="s">
        <v>26</v>
      </c>
    </row>
    <row r="50" spans="1:16" x14ac:dyDescent="0.35">
      <c r="A50" s="2" t="s">
        <v>263</v>
      </c>
      <c r="B50" s="10" t="s">
        <v>105</v>
      </c>
      <c r="C50" s="2" t="s">
        <v>264</v>
      </c>
      <c r="D50" s="2" t="s">
        <v>19</v>
      </c>
      <c r="E50" s="2" t="s">
        <v>108</v>
      </c>
      <c r="F50" s="2" t="s">
        <v>32</v>
      </c>
      <c r="G50" s="2" t="s">
        <v>265</v>
      </c>
      <c r="H50" s="2">
        <v>4</v>
      </c>
      <c r="I50" s="2">
        <v>122.36</v>
      </c>
      <c r="J50" s="2">
        <v>0</v>
      </c>
      <c r="K50" s="2">
        <v>489.44</v>
      </c>
      <c r="L50" s="2">
        <v>11.04</v>
      </c>
      <c r="M50" s="2" t="s">
        <v>128</v>
      </c>
      <c r="N50" s="2" t="s">
        <v>44</v>
      </c>
      <c r="O50" s="2" t="s">
        <v>132</v>
      </c>
      <c r="P50" s="2" t="s">
        <v>207</v>
      </c>
    </row>
    <row r="51" spans="1:16" x14ac:dyDescent="0.35">
      <c r="A51" s="2" t="s">
        <v>266</v>
      </c>
      <c r="B51" s="10" t="s">
        <v>267</v>
      </c>
      <c r="C51" s="2" t="s">
        <v>268</v>
      </c>
      <c r="D51" s="2" t="s">
        <v>69</v>
      </c>
      <c r="E51" s="2" t="s">
        <v>82</v>
      </c>
      <c r="F51" s="2" t="s">
        <v>71</v>
      </c>
      <c r="G51" s="2" t="s">
        <v>269</v>
      </c>
      <c r="H51" s="2">
        <v>7</v>
      </c>
      <c r="I51" s="2">
        <v>28.7</v>
      </c>
      <c r="J51" s="2">
        <v>20</v>
      </c>
      <c r="K51" s="2">
        <v>200.9</v>
      </c>
      <c r="L51" s="2">
        <v>0</v>
      </c>
      <c r="M51" s="2" t="s">
        <v>53</v>
      </c>
      <c r="N51" s="2" t="s">
        <v>98</v>
      </c>
      <c r="O51" s="2" t="s">
        <v>45</v>
      </c>
      <c r="P51" s="2" t="s">
        <v>46</v>
      </c>
    </row>
    <row r="52" spans="1:16" x14ac:dyDescent="0.35">
      <c r="A52" s="2" t="s">
        <v>270</v>
      </c>
      <c r="B52" s="10" t="s">
        <v>271</v>
      </c>
      <c r="C52" s="2" t="s">
        <v>272</v>
      </c>
      <c r="D52" s="2" t="s">
        <v>107</v>
      </c>
      <c r="E52" s="2" t="s">
        <v>119</v>
      </c>
      <c r="F52" s="2" t="s">
        <v>21</v>
      </c>
      <c r="G52" s="2" t="s">
        <v>273</v>
      </c>
      <c r="H52" s="2">
        <v>1</v>
      </c>
      <c r="I52" s="2">
        <v>27.48</v>
      </c>
      <c r="J52" s="2">
        <v>0</v>
      </c>
      <c r="K52" s="2">
        <v>27.48</v>
      </c>
      <c r="L52" s="2">
        <v>0</v>
      </c>
      <c r="M52" s="2" t="s">
        <v>23</v>
      </c>
      <c r="N52" s="2" t="s">
        <v>54</v>
      </c>
      <c r="O52" s="2" t="s">
        <v>55</v>
      </c>
      <c r="P52" s="2" t="s">
        <v>46</v>
      </c>
    </row>
    <row r="53" spans="1:16" x14ac:dyDescent="0.35">
      <c r="A53" s="2" t="s">
        <v>274</v>
      </c>
      <c r="B53" s="10" t="s">
        <v>275</v>
      </c>
      <c r="C53" s="2" t="s">
        <v>276</v>
      </c>
      <c r="D53" s="2" t="s">
        <v>107</v>
      </c>
      <c r="E53" s="2" t="s">
        <v>20</v>
      </c>
      <c r="F53" s="2" t="s">
        <v>32</v>
      </c>
      <c r="G53" s="2" t="s">
        <v>277</v>
      </c>
      <c r="H53" s="2">
        <v>7</v>
      </c>
      <c r="I53" s="2">
        <v>208.49</v>
      </c>
      <c r="J53" s="2">
        <v>15</v>
      </c>
      <c r="K53" s="2">
        <v>1459.43</v>
      </c>
      <c r="L53" s="2">
        <v>0</v>
      </c>
      <c r="M53" s="2" t="s">
        <v>23</v>
      </c>
      <c r="N53" s="2" t="s">
        <v>35</v>
      </c>
      <c r="O53" s="2" t="s">
        <v>45</v>
      </c>
      <c r="P53" s="2" t="s">
        <v>26</v>
      </c>
    </row>
    <row r="54" spans="1:16" x14ac:dyDescent="0.35">
      <c r="A54" s="2" t="s">
        <v>278</v>
      </c>
      <c r="B54" s="10" t="s">
        <v>279</v>
      </c>
      <c r="C54" s="2" t="s">
        <v>280</v>
      </c>
      <c r="D54" s="2" t="s">
        <v>150</v>
      </c>
      <c r="E54" s="2" t="s">
        <v>20</v>
      </c>
      <c r="F54" s="2" t="s">
        <v>42</v>
      </c>
      <c r="G54" s="2" t="s">
        <v>241</v>
      </c>
      <c r="H54" s="2">
        <v>4</v>
      </c>
      <c r="I54" s="2">
        <v>64.400000000000006</v>
      </c>
      <c r="J54" s="2">
        <v>0</v>
      </c>
      <c r="K54" s="2">
        <v>257.60000000000002</v>
      </c>
      <c r="L54" s="2">
        <v>24.49</v>
      </c>
      <c r="M54" s="2" t="s">
        <v>63</v>
      </c>
      <c r="N54" s="2" t="s">
        <v>84</v>
      </c>
      <c r="O54" s="2" t="s">
        <v>25</v>
      </c>
      <c r="P54" s="2" t="s">
        <v>46</v>
      </c>
    </row>
    <row r="55" spans="1:16" x14ac:dyDescent="0.35">
      <c r="A55" s="2" t="s">
        <v>281</v>
      </c>
      <c r="B55" s="10" t="s">
        <v>282</v>
      </c>
      <c r="C55" s="2" t="s">
        <v>283</v>
      </c>
      <c r="D55" s="2" t="s">
        <v>50</v>
      </c>
      <c r="E55" s="2" t="s">
        <v>61</v>
      </c>
      <c r="F55" s="2" t="s">
        <v>120</v>
      </c>
      <c r="G55" s="2" t="s">
        <v>284</v>
      </c>
      <c r="H55" s="2">
        <v>2</v>
      </c>
      <c r="I55" s="2">
        <v>116.42</v>
      </c>
      <c r="J55" s="2">
        <v>10</v>
      </c>
      <c r="K55" s="2">
        <v>232.84</v>
      </c>
      <c r="L55" s="2">
        <v>0</v>
      </c>
      <c r="M55" s="2" t="s">
        <v>73</v>
      </c>
      <c r="N55" s="2" t="s">
        <v>103</v>
      </c>
      <c r="O55" s="2" t="s">
        <v>36</v>
      </c>
      <c r="P55" s="2" t="s">
        <v>158</v>
      </c>
    </row>
    <row r="56" spans="1:16" x14ac:dyDescent="0.35">
      <c r="A56" s="2" t="s">
        <v>285</v>
      </c>
      <c r="B56" s="10" t="s">
        <v>275</v>
      </c>
      <c r="C56" s="2" t="s">
        <v>286</v>
      </c>
      <c r="D56" s="2" t="s">
        <v>125</v>
      </c>
      <c r="E56" s="2" t="s">
        <v>126</v>
      </c>
      <c r="F56" s="2" t="s">
        <v>120</v>
      </c>
      <c r="G56" s="2" t="s">
        <v>197</v>
      </c>
      <c r="H56" s="2">
        <v>3</v>
      </c>
      <c r="I56" s="2">
        <v>186.72</v>
      </c>
      <c r="J56" s="2">
        <v>15</v>
      </c>
      <c r="K56" s="2">
        <v>560.16</v>
      </c>
      <c r="L56" s="2">
        <v>0</v>
      </c>
      <c r="M56" s="2" t="s">
        <v>23</v>
      </c>
      <c r="N56" s="2" t="s">
        <v>103</v>
      </c>
      <c r="O56" s="2" t="s">
        <v>45</v>
      </c>
      <c r="P56" s="2" t="s">
        <v>92</v>
      </c>
    </row>
    <row r="57" spans="1:16" x14ac:dyDescent="0.35">
      <c r="A57" s="2" t="s">
        <v>287</v>
      </c>
      <c r="B57" s="10" t="s">
        <v>288</v>
      </c>
      <c r="C57" s="2" t="s">
        <v>289</v>
      </c>
      <c r="D57" s="2" t="s">
        <v>171</v>
      </c>
      <c r="E57" s="2" t="s">
        <v>31</v>
      </c>
      <c r="F57" s="2" t="s">
        <v>21</v>
      </c>
      <c r="G57" s="2" t="s">
        <v>290</v>
      </c>
      <c r="H57" s="2">
        <v>2</v>
      </c>
      <c r="I57" s="2">
        <v>180.43</v>
      </c>
      <c r="J57" s="2">
        <v>5</v>
      </c>
      <c r="K57" s="2">
        <v>360.86</v>
      </c>
      <c r="L57" s="2">
        <v>0</v>
      </c>
      <c r="M57" s="2" t="s">
        <v>73</v>
      </c>
      <c r="N57" s="2" t="s">
        <v>78</v>
      </c>
      <c r="O57" s="2" t="s">
        <v>25</v>
      </c>
      <c r="P57" s="2" t="s">
        <v>158</v>
      </c>
    </row>
    <row r="58" spans="1:16" x14ac:dyDescent="0.35">
      <c r="A58" s="2" t="s">
        <v>291</v>
      </c>
      <c r="B58" s="10" t="s">
        <v>292</v>
      </c>
      <c r="C58" s="2" t="s">
        <v>293</v>
      </c>
      <c r="D58" s="2" t="s">
        <v>150</v>
      </c>
      <c r="E58" s="2" t="s">
        <v>20</v>
      </c>
      <c r="F58" s="2" t="s">
        <v>42</v>
      </c>
      <c r="G58" s="2" t="s">
        <v>294</v>
      </c>
      <c r="H58" s="2">
        <v>8</v>
      </c>
      <c r="I58" s="2">
        <v>138.86000000000001</v>
      </c>
      <c r="J58" s="2">
        <v>20</v>
      </c>
      <c r="K58" s="2">
        <v>1110.8800000000001</v>
      </c>
      <c r="L58" s="2">
        <v>19.84</v>
      </c>
      <c r="M58" s="2" t="s">
        <v>63</v>
      </c>
      <c r="N58" s="2" t="s">
        <v>35</v>
      </c>
      <c r="O58" s="2" t="s">
        <v>132</v>
      </c>
      <c r="P58" s="2" t="s">
        <v>146</v>
      </c>
    </row>
    <row r="59" spans="1:16" x14ac:dyDescent="0.35">
      <c r="A59" s="2" t="s">
        <v>295</v>
      </c>
      <c r="B59" s="10" t="s">
        <v>296</v>
      </c>
      <c r="C59" s="2" t="s">
        <v>297</v>
      </c>
      <c r="D59" s="2" t="s">
        <v>156</v>
      </c>
      <c r="E59" s="2" t="s">
        <v>136</v>
      </c>
      <c r="F59" s="2" t="s">
        <v>42</v>
      </c>
      <c r="G59" s="2" t="s">
        <v>185</v>
      </c>
      <c r="H59" s="2">
        <v>3</v>
      </c>
      <c r="I59" s="2">
        <v>15.25</v>
      </c>
      <c r="J59" s="2">
        <v>10</v>
      </c>
      <c r="K59" s="2">
        <v>45.75</v>
      </c>
      <c r="L59" s="2">
        <v>0</v>
      </c>
      <c r="M59" s="2" t="s">
        <v>23</v>
      </c>
      <c r="N59" s="2" t="s">
        <v>44</v>
      </c>
      <c r="O59" s="2" t="s">
        <v>55</v>
      </c>
      <c r="P59" s="2" t="s">
        <v>26</v>
      </c>
    </row>
    <row r="60" spans="1:16" x14ac:dyDescent="0.35">
      <c r="A60" s="2" t="s">
        <v>298</v>
      </c>
      <c r="B60" s="10" t="s">
        <v>299</v>
      </c>
      <c r="C60" s="2" t="s">
        <v>300</v>
      </c>
      <c r="D60" s="2" t="s">
        <v>30</v>
      </c>
      <c r="E60" s="2" t="s">
        <v>31</v>
      </c>
      <c r="F60" s="2" t="s">
        <v>120</v>
      </c>
      <c r="G60" s="2" t="s">
        <v>197</v>
      </c>
      <c r="H60" s="2">
        <v>7</v>
      </c>
      <c r="I60" s="2">
        <v>91.13</v>
      </c>
      <c r="J60" s="2">
        <v>0</v>
      </c>
      <c r="K60" s="2">
        <v>637.91</v>
      </c>
      <c r="L60" s="2">
        <v>0</v>
      </c>
      <c r="M60" s="2" t="s">
        <v>53</v>
      </c>
      <c r="N60" s="2" t="s">
        <v>98</v>
      </c>
      <c r="O60" s="2" t="s">
        <v>132</v>
      </c>
      <c r="P60" s="2" t="s">
        <v>26</v>
      </c>
    </row>
    <row r="61" spans="1:16" x14ac:dyDescent="0.35">
      <c r="A61" s="2" t="s">
        <v>301</v>
      </c>
      <c r="B61" s="10" t="s">
        <v>302</v>
      </c>
      <c r="C61" s="2" t="s">
        <v>303</v>
      </c>
      <c r="D61" s="2" t="s">
        <v>142</v>
      </c>
      <c r="E61" s="2" t="s">
        <v>82</v>
      </c>
      <c r="F61" s="2" t="s">
        <v>42</v>
      </c>
      <c r="G61" s="2" t="s">
        <v>294</v>
      </c>
      <c r="H61" s="2">
        <v>6</v>
      </c>
      <c r="I61" s="2">
        <v>8.84</v>
      </c>
      <c r="J61" s="2">
        <v>0</v>
      </c>
      <c r="K61" s="2">
        <v>53.04</v>
      </c>
      <c r="L61" s="2">
        <v>0</v>
      </c>
      <c r="M61" s="2" t="s">
        <v>53</v>
      </c>
      <c r="N61" s="2" t="s">
        <v>78</v>
      </c>
      <c r="O61" s="2" t="s">
        <v>132</v>
      </c>
      <c r="P61" s="2" t="s">
        <v>26</v>
      </c>
    </row>
    <row r="62" spans="1:16" x14ac:dyDescent="0.35">
      <c r="A62" s="2" t="s">
        <v>304</v>
      </c>
      <c r="B62" s="10" t="s">
        <v>305</v>
      </c>
      <c r="C62" s="2" t="s">
        <v>306</v>
      </c>
      <c r="D62" s="2" t="s">
        <v>307</v>
      </c>
      <c r="E62" s="2" t="s">
        <v>90</v>
      </c>
      <c r="F62" s="2" t="s">
        <v>42</v>
      </c>
      <c r="G62" s="2" t="s">
        <v>308</v>
      </c>
      <c r="H62" s="2">
        <v>5</v>
      </c>
      <c r="I62" s="2">
        <v>194.47</v>
      </c>
      <c r="J62" s="2">
        <v>5</v>
      </c>
      <c r="K62" s="2">
        <v>972.35</v>
      </c>
      <c r="L62" s="2">
        <v>23.17</v>
      </c>
      <c r="M62" s="2" t="s">
        <v>34</v>
      </c>
      <c r="N62" s="2" t="s">
        <v>103</v>
      </c>
      <c r="O62" s="2" t="s">
        <v>25</v>
      </c>
      <c r="P62" s="2" t="s">
        <v>92</v>
      </c>
    </row>
    <row r="63" spans="1:16" x14ac:dyDescent="0.35">
      <c r="A63" s="2" t="s">
        <v>309</v>
      </c>
      <c r="B63" s="10" t="s">
        <v>310</v>
      </c>
      <c r="C63" s="2" t="s">
        <v>311</v>
      </c>
      <c r="D63" s="2" t="s">
        <v>125</v>
      </c>
      <c r="E63" s="2" t="s">
        <v>31</v>
      </c>
      <c r="F63" s="2" t="s">
        <v>71</v>
      </c>
      <c r="G63" s="2" t="s">
        <v>312</v>
      </c>
      <c r="H63" s="2">
        <v>4</v>
      </c>
      <c r="I63" s="2">
        <v>127.33</v>
      </c>
      <c r="J63" s="2">
        <v>0</v>
      </c>
      <c r="K63" s="2">
        <v>509.32</v>
      </c>
      <c r="L63" s="2">
        <v>13.23</v>
      </c>
      <c r="M63" s="2" t="s">
        <v>128</v>
      </c>
      <c r="N63" s="2" t="s">
        <v>84</v>
      </c>
      <c r="O63" s="2" t="s">
        <v>45</v>
      </c>
      <c r="P63" s="2" t="s">
        <v>313</v>
      </c>
    </row>
    <row r="64" spans="1:16" x14ac:dyDescent="0.35">
      <c r="A64" s="2" t="s">
        <v>314</v>
      </c>
      <c r="B64" s="10" t="s">
        <v>315</v>
      </c>
      <c r="C64" s="2" t="s">
        <v>316</v>
      </c>
      <c r="D64" s="2" t="s">
        <v>69</v>
      </c>
      <c r="E64" s="2" t="s">
        <v>70</v>
      </c>
      <c r="F64" s="2" t="s">
        <v>21</v>
      </c>
      <c r="G64" s="2" t="s">
        <v>220</v>
      </c>
      <c r="H64" s="2">
        <v>3</v>
      </c>
      <c r="I64" s="2">
        <v>201.32</v>
      </c>
      <c r="J64" s="2">
        <v>0</v>
      </c>
      <c r="K64" s="2">
        <v>603.96</v>
      </c>
      <c r="L64" s="2">
        <v>0</v>
      </c>
      <c r="M64" s="2" t="s">
        <v>73</v>
      </c>
      <c r="N64" s="2" t="s">
        <v>78</v>
      </c>
      <c r="O64" s="2" t="s">
        <v>64</v>
      </c>
      <c r="P64" s="2" t="s">
        <v>26</v>
      </c>
    </row>
    <row r="65" spans="1:16" x14ac:dyDescent="0.35">
      <c r="A65" s="2" t="s">
        <v>317</v>
      </c>
      <c r="B65" s="10" t="s">
        <v>318</v>
      </c>
      <c r="C65" s="2" t="s">
        <v>319</v>
      </c>
      <c r="D65" s="2" t="s">
        <v>125</v>
      </c>
      <c r="E65" s="2" t="s">
        <v>202</v>
      </c>
      <c r="F65" s="2" t="s">
        <v>32</v>
      </c>
      <c r="G65" s="2" t="s">
        <v>320</v>
      </c>
      <c r="H65" s="2">
        <v>5</v>
      </c>
      <c r="I65" s="2">
        <v>80.09</v>
      </c>
      <c r="J65" s="2">
        <v>0</v>
      </c>
      <c r="K65" s="2">
        <v>400.45</v>
      </c>
      <c r="L65" s="2">
        <v>0</v>
      </c>
      <c r="M65" s="2" t="s">
        <v>23</v>
      </c>
      <c r="N65" s="2" t="s">
        <v>44</v>
      </c>
      <c r="O65" s="2" t="s">
        <v>55</v>
      </c>
      <c r="P65" s="2" t="s">
        <v>65</v>
      </c>
    </row>
    <row r="66" spans="1:16" x14ac:dyDescent="0.35">
      <c r="A66" s="2" t="s">
        <v>321</v>
      </c>
      <c r="B66" s="10" t="s">
        <v>322</v>
      </c>
      <c r="C66" s="2" t="s">
        <v>323</v>
      </c>
      <c r="D66" s="2" t="s">
        <v>156</v>
      </c>
      <c r="E66" s="2" t="s">
        <v>166</v>
      </c>
      <c r="F66" s="2" t="s">
        <v>32</v>
      </c>
      <c r="G66" s="2" t="s">
        <v>33</v>
      </c>
      <c r="H66" s="2">
        <v>5</v>
      </c>
      <c r="I66" s="2">
        <v>200.2</v>
      </c>
      <c r="J66" s="2">
        <v>15</v>
      </c>
      <c r="K66" s="2">
        <v>1001</v>
      </c>
      <c r="L66" s="2">
        <v>0</v>
      </c>
      <c r="M66" s="2" t="s">
        <v>23</v>
      </c>
      <c r="N66" s="2" t="s">
        <v>115</v>
      </c>
      <c r="O66" s="2" t="s">
        <v>45</v>
      </c>
      <c r="P66" s="2" t="s">
        <v>65</v>
      </c>
    </row>
    <row r="67" spans="1:16" x14ac:dyDescent="0.35">
      <c r="A67" s="2" t="s">
        <v>324</v>
      </c>
      <c r="B67" s="10" t="s">
        <v>325</v>
      </c>
      <c r="C67" s="2" t="s">
        <v>326</v>
      </c>
      <c r="D67" s="2" t="s">
        <v>171</v>
      </c>
      <c r="E67" s="2" t="s">
        <v>202</v>
      </c>
      <c r="F67" s="2" t="s">
        <v>71</v>
      </c>
      <c r="G67" s="2" t="s">
        <v>114</v>
      </c>
      <c r="H67" s="2">
        <v>7</v>
      </c>
      <c r="I67" s="2">
        <v>101.92</v>
      </c>
      <c r="J67" s="2">
        <v>10</v>
      </c>
      <c r="K67" s="2">
        <v>713.44</v>
      </c>
      <c r="L67" s="2">
        <v>0</v>
      </c>
      <c r="M67" s="2" t="s">
        <v>53</v>
      </c>
      <c r="N67" s="2" t="s">
        <v>54</v>
      </c>
      <c r="O67" s="2" t="s">
        <v>36</v>
      </c>
      <c r="P67" s="2" t="s">
        <v>65</v>
      </c>
    </row>
    <row r="68" spans="1:16" x14ac:dyDescent="0.35">
      <c r="A68" s="2" t="s">
        <v>327</v>
      </c>
      <c r="B68" s="10" t="s">
        <v>328</v>
      </c>
      <c r="C68" s="2" t="s">
        <v>329</v>
      </c>
      <c r="D68" s="2" t="s">
        <v>60</v>
      </c>
      <c r="E68" s="2" t="s">
        <v>61</v>
      </c>
      <c r="F68" s="2" t="s">
        <v>71</v>
      </c>
      <c r="G68" s="2" t="s">
        <v>330</v>
      </c>
      <c r="H68" s="2">
        <v>1</v>
      </c>
      <c r="I68" s="2">
        <v>114.38</v>
      </c>
      <c r="J68" s="2">
        <v>0</v>
      </c>
      <c r="K68" s="2">
        <v>114.38</v>
      </c>
      <c r="L68" s="2">
        <v>23.08</v>
      </c>
      <c r="M68" s="2" t="s">
        <v>34</v>
      </c>
      <c r="N68" s="2" t="s">
        <v>78</v>
      </c>
      <c r="O68" s="2" t="s">
        <v>138</v>
      </c>
      <c r="P68" s="2" t="s">
        <v>26</v>
      </c>
    </row>
    <row r="69" spans="1:16" x14ac:dyDescent="0.35">
      <c r="A69" s="2" t="s">
        <v>331</v>
      </c>
      <c r="B69" s="10" t="s">
        <v>332</v>
      </c>
      <c r="C69" s="2" t="s">
        <v>333</v>
      </c>
      <c r="D69" s="2" t="s">
        <v>69</v>
      </c>
      <c r="E69" s="2" t="s">
        <v>180</v>
      </c>
      <c r="F69" s="2" t="s">
        <v>71</v>
      </c>
      <c r="G69" s="2" t="s">
        <v>262</v>
      </c>
      <c r="H69" s="2">
        <v>8</v>
      </c>
      <c r="I69" s="2">
        <v>160.74</v>
      </c>
      <c r="J69" s="2">
        <v>0</v>
      </c>
      <c r="K69" s="2">
        <v>1285.92</v>
      </c>
      <c r="L69" s="2">
        <v>0</v>
      </c>
      <c r="M69" s="2" t="s">
        <v>23</v>
      </c>
      <c r="N69" s="2" t="s">
        <v>115</v>
      </c>
      <c r="O69" s="2" t="s">
        <v>132</v>
      </c>
      <c r="P69" s="2" t="s">
        <v>92</v>
      </c>
    </row>
    <row r="70" spans="1:16" x14ac:dyDescent="0.35">
      <c r="A70" s="2" t="s">
        <v>334</v>
      </c>
      <c r="B70" s="10" t="s">
        <v>335</v>
      </c>
      <c r="C70" s="2" t="s">
        <v>336</v>
      </c>
      <c r="D70" s="2" t="s">
        <v>19</v>
      </c>
      <c r="E70" s="2" t="s">
        <v>119</v>
      </c>
      <c r="F70" s="2" t="s">
        <v>21</v>
      </c>
      <c r="G70" s="2" t="s">
        <v>248</v>
      </c>
      <c r="H70" s="2">
        <v>1</v>
      </c>
      <c r="I70" s="2">
        <v>27.8</v>
      </c>
      <c r="J70" s="2">
        <v>0</v>
      </c>
      <c r="K70" s="2">
        <v>27.8</v>
      </c>
      <c r="L70" s="2">
        <v>0</v>
      </c>
      <c r="M70" s="2" t="s">
        <v>23</v>
      </c>
      <c r="N70" s="2" t="s">
        <v>24</v>
      </c>
      <c r="O70" s="2" t="s">
        <v>55</v>
      </c>
      <c r="P70" s="2" t="s">
        <v>65</v>
      </c>
    </row>
    <row r="71" spans="1:16" x14ac:dyDescent="0.35">
      <c r="A71" s="2" t="s">
        <v>337</v>
      </c>
      <c r="B71" s="10" t="s">
        <v>338</v>
      </c>
      <c r="C71" s="2" t="s">
        <v>339</v>
      </c>
      <c r="D71" s="2" t="s">
        <v>69</v>
      </c>
      <c r="E71" s="2" t="s">
        <v>180</v>
      </c>
      <c r="F71" s="2" t="s">
        <v>32</v>
      </c>
      <c r="G71" s="2" t="s">
        <v>151</v>
      </c>
      <c r="H71" s="2">
        <v>4</v>
      </c>
      <c r="I71" s="2">
        <v>106.32</v>
      </c>
      <c r="J71" s="2">
        <v>20</v>
      </c>
      <c r="K71" s="2">
        <v>425.28</v>
      </c>
      <c r="L71" s="2">
        <v>18.02</v>
      </c>
      <c r="M71" s="2" t="s">
        <v>128</v>
      </c>
      <c r="N71" s="2" t="s">
        <v>44</v>
      </c>
      <c r="O71" s="2" t="s">
        <v>172</v>
      </c>
      <c r="P71" s="2" t="s">
        <v>46</v>
      </c>
    </row>
    <row r="72" spans="1:16" x14ac:dyDescent="0.35">
      <c r="A72" s="2" t="s">
        <v>340</v>
      </c>
      <c r="B72" s="10" t="s">
        <v>341</v>
      </c>
      <c r="C72" s="2" t="s">
        <v>342</v>
      </c>
      <c r="D72" s="2" t="s">
        <v>60</v>
      </c>
      <c r="E72" s="2" t="s">
        <v>61</v>
      </c>
      <c r="F72" s="2" t="s">
        <v>42</v>
      </c>
      <c r="G72" s="2" t="s">
        <v>343</v>
      </c>
      <c r="H72" s="2">
        <v>3</v>
      </c>
      <c r="I72" s="2">
        <v>63.01</v>
      </c>
      <c r="J72" s="2">
        <v>0</v>
      </c>
      <c r="K72" s="2">
        <v>189.03</v>
      </c>
      <c r="L72" s="2">
        <v>5.78</v>
      </c>
      <c r="M72" s="2" t="s">
        <v>34</v>
      </c>
      <c r="N72" s="2" t="s">
        <v>98</v>
      </c>
      <c r="O72" s="2" t="s">
        <v>55</v>
      </c>
      <c r="P72" s="2" t="s">
        <v>26</v>
      </c>
    </row>
    <row r="73" spans="1:16" x14ac:dyDescent="0.35">
      <c r="A73" s="2" t="s">
        <v>344</v>
      </c>
      <c r="B73" s="10" t="s">
        <v>345</v>
      </c>
      <c r="C73" s="2" t="s">
        <v>346</v>
      </c>
      <c r="D73" s="2" t="s">
        <v>40</v>
      </c>
      <c r="E73" s="2" t="s">
        <v>51</v>
      </c>
      <c r="F73" s="2" t="s">
        <v>120</v>
      </c>
      <c r="G73" s="2" t="s">
        <v>255</v>
      </c>
      <c r="H73" s="2">
        <v>6</v>
      </c>
      <c r="I73" s="2">
        <v>27.88</v>
      </c>
      <c r="J73" s="2">
        <v>5</v>
      </c>
      <c r="K73" s="2">
        <v>167.28</v>
      </c>
      <c r="L73" s="2">
        <v>0</v>
      </c>
      <c r="M73" s="2" t="s">
        <v>23</v>
      </c>
      <c r="N73" s="2" t="s">
        <v>54</v>
      </c>
      <c r="O73" s="2" t="s">
        <v>25</v>
      </c>
      <c r="P73" s="2" t="s">
        <v>26</v>
      </c>
    </row>
    <row r="74" spans="1:16" x14ac:dyDescent="0.35">
      <c r="A74" s="2" t="s">
        <v>347</v>
      </c>
      <c r="B74" s="10" t="s">
        <v>348</v>
      </c>
      <c r="C74" s="2" t="s">
        <v>349</v>
      </c>
      <c r="D74" s="2" t="s">
        <v>40</v>
      </c>
      <c r="E74" s="2" t="s">
        <v>41</v>
      </c>
      <c r="F74" s="2" t="s">
        <v>21</v>
      </c>
      <c r="G74" s="2" t="s">
        <v>22</v>
      </c>
      <c r="H74" s="2">
        <v>7</v>
      </c>
      <c r="I74" s="2">
        <v>87.42</v>
      </c>
      <c r="J74" s="2"/>
      <c r="K74" s="2">
        <v>611.94000000000005</v>
      </c>
      <c r="L74" s="2">
        <v>0</v>
      </c>
      <c r="M74" s="2" t="s">
        <v>53</v>
      </c>
      <c r="N74" s="2" t="s">
        <v>152</v>
      </c>
      <c r="O74" s="2" t="s">
        <v>55</v>
      </c>
      <c r="P74" s="2" t="s">
        <v>207</v>
      </c>
    </row>
    <row r="75" spans="1:16" x14ac:dyDescent="0.35">
      <c r="A75" s="2" t="s">
        <v>350</v>
      </c>
      <c r="B75" s="10" t="s">
        <v>351</v>
      </c>
      <c r="C75" s="2" t="s">
        <v>352</v>
      </c>
      <c r="D75" s="2" t="s">
        <v>30</v>
      </c>
      <c r="E75" s="2" t="s">
        <v>126</v>
      </c>
      <c r="F75" s="2" t="s">
        <v>120</v>
      </c>
      <c r="G75" s="2" t="s">
        <v>227</v>
      </c>
      <c r="H75" s="2">
        <v>7</v>
      </c>
      <c r="I75" s="2">
        <v>173.09</v>
      </c>
      <c r="J75" s="2">
        <v>5</v>
      </c>
      <c r="K75" s="2">
        <v>1211.6300000000001</v>
      </c>
      <c r="L75" s="2">
        <v>19.2</v>
      </c>
      <c r="M75" s="2" t="s">
        <v>34</v>
      </c>
      <c r="N75" s="2" t="s">
        <v>84</v>
      </c>
      <c r="O75" s="2" t="s">
        <v>64</v>
      </c>
      <c r="P75" s="2" t="s">
        <v>46</v>
      </c>
    </row>
    <row r="76" spans="1:16" x14ac:dyDescent="0.35">
      <c r="A76" s="2" t="s">
        <v>353</v>
      </c>
      <c r="B76" s="10" t="s">
        <v>354</v>
      </c>
      <c r="C76" s="2" t="s">
        <v>355</v>
      </c>
      <c r="D76" s="2" t="s">
        <v>150</v>
      </c>
      <c r="E76" s="2" t="s">
        <v>108</v>
      </c>
      <c r="F76" s="2" t="s">
        <v>71</v>
      </c>
      <c r="G76" s="2" t="s">
        <v>167</v>
      </c>
      <c r="H76" s="2">
        <v>3</v>
      </c>
      <c r="I76" s="2">
        <v>202.42</v>
      </c>
      <c r="J76" s="2">
        <v>5</v>
      </c>
      <c r="K76" s="2">
        <v>607.26</v>
      </c>
      <c r="L76" s="2">
        <v>4.13</v>
      </c>
      <c r="M76" s="2" t="s">
        <v>128</v>
      </c>
      <c r="N76" s="2" t="s">
        <v>54</v>
      </c>
      <c r="O76" s="2" t="s">
        <v>85</v>
      </c>
      <c r="P76" s="2" t="s">
        <v>46</v>
      </c>
    </row>
    <row r="77" spans="1:16" x14ac:dyDescent="0.35">
      <c r="A77" s="2" t="s">
        <v>356</v>
      </c>
      <c r="B77" s="10" t="s">
        <v>169</v>
      </c>
      <c r="C77" s="2" t="s">
        <v>357</v>
      </c>
      <c r="D77" s="2" t="s">
        <v>30</v>
      </c>
      <c r="E77" s="2" t="s">
        <v>126</v>
      </c>
      <c r="F77" s="2" t="s">
        <v>42</v>
      </c>
      <c r="G77" s="2" t="s">
        <v>62</v>
      </c>
      <c r="H77" s="2">
        <v>4</v>
      </c>
      <c r="I77" s="2">
        <v>226.95</v>
      </c>
      <c r="J77" s="2">
        <v>20</v>
      </c>
      <c r="K77" s="2">
        <v>907.8</v>
      </c>
      <c r="L77" s="2">
        <v>0</v>
      </c>
      <c r="M77" s="2" t="s">
        <v>23</v>
      </c>
      <c r="N77" s="2" t="s">
        <v>84</v>
      </c>
      <c r="O77" s="2" t="s">
        <v>172</v>
      </c>
      <c r="P77" s="2" t="s">
        <v>26</v>
      </c>
    </row>
    <row r="78" spans="1:16" x14ac:dyDescent="0.35">
      <c r="A78" s="2" t="s">
        <v>358</v>
      </c>
      <c r="B78" s="10" t="s">
        <v>359</v>
      </c>
      <c r="C78" s="2" t="s">
        <v>360</v>
      </c>
      <c r="D78" s="2" t="s">
        <v>156</v>
      </c>
      <c r="E78" s="2" t="s">
        <v>136</v>
      </c>
      <c r="F78" s="2" t="s">
        <v>120</v>
      </c>
      <c r="G78" s="2" t="s">
        <v>121</v>
      </c>
      <c r="H78" s="2">
        <v>2</v>
      </c>
      <c r="I78" s="2">
        <v>88.45</v>
      </c>
      <c r="J78" s="2">
        <v>0</v>
      </c>
      <c r="K78" s="2">
        <v>176.9</v>
      </c>
      <c r="L78" s="2">
        <v>0</v>
      </c>
      <c r="M78" s="2" t="s">
        <v>73</v>
      </c>
      <c r="N78" s="2" t="s">
        <v>115</v>
      </c>
      <c r="O78" s="2" t="s">
        <v>55</v>
      </c>
      <c r="P78" s="2" t="s">
        <v>46</v>
      </c>
    </row>
    <row r="79" spans="1:16" x14ac:dyDescent="0.35">
      <c r="A79" s="2" t="s">
        <v>361</v>
      </c>
      <c r="B79" s="10" t="s">
        <v>362</v>
      </c>
      <c r="C79" s="2" t="s">
        <v>363</v>
      </c>
      <c r="D79" s="2" t="s">
        <v>89</v>
      </c>
      <c r="E79" s="2" t="s">
        <v>90</v>
      </c>
      <c r="F79" s="2" t="s">
        <v>120</v>
      </c>
      <c r="G79" s="2" t="s">
        <v>137</v>
      </c>
      <c r="H79" s="2">
        <v>8</v>
      </c>
      <c r="I79" s="2">
        <v>18.75</v>
      </c>
      <c r="J79" s="2">
        <v>20</v>
      </c>
      <c r="K79" s="2"/>
      <c r="L79" s="2">
        <v>15.04</v>
      </c>
      <c r="M79" s="2" t="s">
        <v>34</v>
      </c>
      <c r="N79" s="2" t="s">
        <v>115</v>
      </c>
      <c r="O79" s="2" t="s">
        <v>55</v>
      </c>
      <c r="P79" s="2" t="s">
        <v>26</v>
      </c>
    </row>
    <row r="80" spans="1:16" x14ac:dyDescent="0.35">
      <c r="A80" s="2" t="s">
        <v>364</v>
      </c>
      <c r="B80" s="10" t="s">
        <v>365</v>
      </c>
      <c r="C80" s="2" t="s">
        <v>366</v>
      </c>
      <c r="D80" s="2" t="s">
        <v>40</v>
      </c>
      <c r="E80" s="2" t="s">
        <v>51</v>
      </c>
      <c r="F80" s="2" t="s">
        <v>32</v>
      </c>
      <c r="G80" s="2" t="s">
        <v>91</v>
      </c>
      <c r="H80" s="2">
        <v>6</v>
      </c>
      <c r="I80" s="2">
        <v>71.459999999999994</v>
      </c>
      <c r="J80" s="2">
        <v>20</v>
      </c>
      <c r="K80" s="2">
        <v>428.76</v>
      </c>
      <c r="L80" s="2">
        <v>21.43</v>
      </c>
      <c r="M80" s="2" t="s">
        <v>63</v>
      </c>
      <c r="N80" s="2" t="s">
        <v>35</v>
      </c>
      <c r="O80" s="2" t="s">
        <v>138</v>
      </c>
      <c r="P80" s="2" t="s">
        <v>65</v>
      </c>
    </row>
    <row r="81" spans="1:16" x14ac:dyDescent="0.35">
      <c r="A81" s="2" t="s">
        <v>367</v>
      </c>
      <c r="B81" s="10" t="s">
        <v>368</v>
      </c>
      <c r="C81" s="2" t="s">
        <v>369</v>
      </c>
      <c r="D81" s="2" t="s">
        <v>60</v>
      </c>
      <c r="E81" s="2" t="s">
        <v>51</v>
      </c>
      <c r="F81" s="2" t="s">
        <v>21</v>
      </c>
      <c r="G81" s="2" t="s">
        <v>52</v>
      </c>
      <c r="H81" s="2">
        <v>8</v>
      </c>
      <c r="I81" s="2">
        <v>178.29</v>
      </c>
      <c r="J81" s="2">
        <v>0</v>
      </c>
      <c r="K81" s="2">
        <v>1426.32</v>
      </c>
      <c r="L81" s="2">
        <v>0</v>
      </c>
      <c r="M81" s="2" t="s">
        <v>73</v>
      </c>
      <c r="N81" s="2" t="s">
        <v>98</v>
      </c>
      <c r="O81" s="2" t="s">
        <v>132</v>
      </c>
      <c r="P81" s="2" t="s">
        <v>65</v>
      </c>
    </row>
    <row r="82" spans="1:16" x14ac:dyDescent="0.35">
      <c r="A82" s="2" t="s">
        <v>370</v>
      </c>
      <c r="B82" s="10" t="s">
        <v>371</v>
      </c>
      <c r="C82" s="2" t="s">
        <v>372</v>
      </c>
      <c r="D82" s="2" t="s">
        <v>40</v>
      </c>
      <c r="E82" s="2" t="s">
        <v>41</v>
      </c>
      <c r="F82" s="2" t="s">
        <v>21</v>
      </c>
      <c r="G82" s="2" t="s">
        <v>273</v>
      </c>
      <c r="H82" s="2">
        <v>6</v>
      </c>
      <c r="I82" s="2">
        <v>168.62</v>
      </c>
      <c r="J82" s="2">
        <v>0</v>
      </c>
      <c r="K82" s="2">
        <v>1011.72</v>
      </c>
      <c r="L82" s="2">
        <v>7.44</v>
      </c>
      <c r="M82" s="2" t="s">
        <v>34</v>
      </c>
      <c r="N82" s="2" t="s">
        <v>54</v>
      </c>
      <c r="O82" s="2" t="s">
        <v>132</v>
      </c>
      <c r="P82" s="2" t="s">
        <v>373</v>
      </c>
    </row>
    <row r="83" spans="1:16" x14ac:dyDescent="0.35">
      <c r="A83" s="2" t="s">
        <v>374</v>
      </c>
      <c r="B83" s="10" t="s">
        <v>375</v>
      </c>
      <c r="C83" s="2" t="s">
        <v>376</v>
      </c>
      <c r="D83" s="2" t="s">
        <v>150</v>
      </c>
      <c r="E83" s="2" t="s">
        <v>119</v>
      </c>
      <c r="F83" s="2" t="s">
        <v>32</v>
      </c>
      <c r="G83" s="2" t="s">
        <v>265</v>
      </c>
      <c r="H83" s="2">
        <v>7</v>
      </c>
      <c r="I83" s="2">
        <v>116.56</v>
      </c>
      <c r="J83" s="2">
        <v>5</v>
      </c>
      <c r="K83" s="2">
        <v>815.92</v>
      </c>
      <c r="L83" s="2">
        <v>0</v>
      </c>
      <c r="M83" s="2" t="s">
        <v>73</v>
      </c>
      <c r="N83" s="2" t="s">
        <v>44</v>
      </c>
      <c r="O83" s="2" t="s">
        <v>25</v>
      </c>
      <c r="P83" s="2" t="s">
        <v>377</v>
      </c>
    </row>
    <row r="84" spans="1:16" x14ac:dyDescent="0.35">
      <c r="A84" s="2" t="s">
        <v>378</v>
      </c>
      <c r="B84" s="10" t="s">
        <v>379</v>
      </c>
      <c r="C84" s="2" t="s">
        <v>380</v>
      </c>
      <c r="D84" s="2" t="s">
        <v>69</v>
      </c>
      <c r="E84" s="2" t="s">
        <v>70</v>
      </c>
      <c r="F84" s="2" t="s">
        <v>71</v>
      </c>
      <c r="G84" s="2" t="s">
        <v>102</v>
      </c>
      <c r="H84" s="2">
        <v>7</v>
      </c>
      <c r="I84" s="2">
        <v>70.599999999999994</v>
      </c>
      <c r="J84" s="2">
        <v>0</v>
      </c>
      <c r="K84" s="2">
        <v>494.2</v>
      </c>
      <c r="L84" s="2">
        <v>0</v>
      </c>
      <c r="M84" s="2" t="s">
        <v>73</v>
      </c>
      <c r="N84" s="2" t="s">
        <v>84</v>
      </c>
      <c r="O84" s="2" t="s">
        <v>25</v>
      </c>
      <c r="P84" s="2" t="s">
        <v>46</v>
      </c>
    </row>
    <row r="85" spans="1:16" x14ac:dyDescent="0.35">
      <c r="A85" s="2" t="s">
        <v>381</v>
      </c>
      <c r="B85" s="10" t="s">
        <v>382</v>
      </c>
      <c r="C85" s="2" t="s">
        <v>383</v>
      </c>
      <c r="D85" s="2" t="s">
        <v>142</v>
      </c>
      <c r="E85" s="2" t="s">
        <v>70</v>
      </c>
      <c r="F85" s="2" t="s">
        <v>120</v>
      </c>
      <c r="G85" s="2" t="s">
        <v>384</v>
      </c>
      <c r="H85" s="2">
        <v>8</v>
      </c>
      <c r="I85" s="2">
        <v>8.99</v>
      </c>
      <c r="J85" s="2">
        <v>20</v>
      </c>
      <c r="K85" s="2">
        <v>71.92</v>
      </c>
      <c r="L85" s="2">
        <v>8.3000000000000007</v>
      </c>
      <c r="M85" s="2" t="s">
        <v>128</v>
      </c>
      <c r="N85" s="2" t="s">
        <v>84</v>
      </c>
      <c r="O85" s="2" t="s">
        <v>36</v>
      </c>
      <c r="P85" s="2" t="s">
        <v>65</v>
      </c>
    </row>
    <row r="86" spans="1:16" x14ac:dyDescent="0.35">
      <c r="A86" s="2" t="s">
        <v>385</v>
      </c>
      <c r="B86" s="10" t="s">
        <v>271</v>
      </c>
      <c r="C86" s="2" t="s">
        <v>386</v>
      </c>
      <c r="D86" s="2" t="s">
        <v>307</v>
      </c>
      <c r="E86" s="2" t="s">
        <v>166</v>
      </c>
      <c r="F86" s="2" t="s">
        <v>21</v>
      </c>
      <c r="G86" s="2" t="s">
        <v>22</v>
      </c>
      <c r="H86" s="2">
        <v>1</v>
      </c>
      <c r="I86" s="2">
        <v>61.71</v>
      </c>
      <c r="J86" s="2">
        <v>5</v>
      </c>
      <c r="K86" s="2">
        <v>61.71</v>
      </c>
      <c r="L86" s="2">
        <v>0</v>
      </c>
      <c r="M86" s="2" t="s">
        <v>23</v>
      </c>
      <c r="N86" s="2" t="s">
        <v>115</v>
      </c>
      <c r="O86" s="2" t="s">
        <v>64</v>
      </c>
      <c r="P86" s="2" t="s">
        <v>46</v>
      </c>
    </row>
    <row r="87" spans="1:16" x14ac:dyDescent="0.35">
      <c r="A87" s="2" t="s">
        <v>387</v>
      </c>
      <c r="B87" s="10" t="s">
        <v>388</v>
      </c>
      <c r="C87" s="2" t="s">
        <v>389</v>
      </c>
      <c r="D87" s="2" t="s">
        <v>142</v>
      </c>
      <c r="E87" s="2" t="s">
        <v>82</v>
      </c>
      <c r="F87" s="2" t="s">
        <v>32</v>
      </c>
      <c r="G87" s="2" t="s">
        <v>390</v>
      </c>
      <c r="H87" s="2">
        <v>7</v>
      </c>
      <c r="I87" s="2">
        <v>202.51</v>
      </c>
      <c r="J87" s="2">
        <v>0</v>
      </c>
      <c r="K87" s="2">
        <v>1417.57</v>
      </c>
      <c r="L87" s="2">
        <v>11.34</v>
      </c>
      <c r="M87" s="2" t="s">
        <v>128</v>
      </c>
      <c r="N87" s="2" t="s">
        <v>44</v>
      </c>
      <c r="O87" s="2" t="s">
        <v>25</v>
      </c>
      <c r="P87" s="2" t="s">
        <v>65</v>
      </c>
    </row>
    <row r="88" spans="1:16" x14ac:dyDescent="0.35">
      <c r="A88" s="2" t="s">
        <v>391</v>
      </c>
      <c r="B88" s="10" t="s">
        <v>392</v>
      </c>
      <c r="C88" s="2" t="s">
        <v>393</v>
      </c>
      <c r="D88" s="2" t="s">
        <v>107</v>
      </c>
      <c r="E88" s="2" t="s">
        <v>119</v>
      </c>
      <c r="F88" s="2" t="s">
        <v>32</v>
      </c>
      <c r="G88" s="2" t="s">
        <v>33</v>
      </c>
      <c r="H88" s="2">
        <v>8</v>
      </c>
      <c r="I88" s="2">
        <v>29.43</v>
      </c>
      <c r="J88" s="2">
        <v>20</v>
      </c>
      <c r="K88" s="2">
        <v>235.44</v>
      </c>
      <c r="L88" s="2">
        <v>0</v>
      </c>
      <c r="M88" s="2" t="s">
        <v>73</v>
      </c>
      <c r="N88" s="2" t="s">
        <v>54</v>
      </c>
      <c r="O88" s="2" t="s">
        <v>172</v>
      </c>
      <c r="P88" s="2" t="s">
        <v>46</v>
      </c>
    </row>
    <row r="89" spans="1:16" x14ac:dyDescent="0.35">
      <c r="A89" s="2" t="s">
        <v>394</v>
      </c>
      <c r="B89" s="10" t="s">
        <v>395</v>
      </c>
      <c r="C89" s="2" t="s">
        <v>396</v>
      </c>
      <c r="D89" s="2" t="s">
        <v>125</v>
      </c>
      <c r="E89" s="2" t="s">
        <v>202</v>
      </c>
      <c r="F89" s="2" t="s">
        <v>32</v>
      </c>
      <c r="G89" s="2" t="s">
        <v>157</v>
      </c>
      <c r="H89" s="2">
        <v>2</v>
      </c>
      <c r="I89" s="2">
        <v>80.849999999999994</v>
      </c>
      <c r="J89" s="2">
        <v>0</v>
      </c>
      <c r="K89" s="2">
        <v>161.69999999999999</v>
      </c>
      <c r="L89" s="2">
        <v>6.93</v>
      </c>
      <c r="M89" s="2" t="s">
        <v>63</v>
      </c>
      <c r="N89" s="2" t="s">
        <v>24</v>
      </c>
      <c r="O89" s="2" t="s">
        <v>85</v>
      </c>
      <c r="P89" s="2" t="s">
        <v>65</v>
      </c>
    </row>
    <row r="90" spans="1:16" x14ac:dyDescent="0.35">
      <c r="A90" s="2" t="s">
        <v>397</v>
      </c>
      <c r="B90" s="10" t="s">
        <v>398</v>
      </c>
      <c r="C90" s="2" t="s">
        <v>399</v>
      </c>
      <c r="D90" s="2" t="s">
        <v>156</v>
      </c>
      <c r="E90" s="2" t="s">
        <v>136</v>
      </c>
      <c r="F90" s="2" t="s">
        <v>32</v>
      </c>
      <c r="G90" s="2" t="s">
        <v>33</v>
      </c>
      <c r="H90" s="2">
        <v>7</v>
      </c>
      <c r="I90" s="2">
        <v>222.92</v>
      </c>
      <c r="J90" s="2">
        <v>20</v>
      </c>
      <c r="K90" s="2">
        <v>1560.44</v>
      </c>
      <c r="L90" s="2">
        <v>0</v>
      </c>
      <c r="M90" s="2" t="s">
        <v>23</v>
      </c>
      <c r="N90" s="2" t="s">
        <v>152</v>
      </c>
      <c r="O90" s="2" t="s">
        <v>55</v>
      </c>
      <c r="P90" s="2" t="s">
        <v>313</v>
      </c>
    </row>
    <row r="91" spans="1:16" x14ac:dyDescent="0.35">
      <c r="A91" s="2" t="s">
        <v>400</v>
      </c>
      <c r="B91" s="10" t="s">
        <v>401</v>
      </c>
      <c r="C91" s="2" t="s">
        <v>402</v>
      </c>
      <c r="D91" s="2" t="s">
        <v>69</v>
      </c>
      <c r="E91" s="2" t="s">
        <v>70</v>
      </c>
      <c r="F91" s="2" t="s">
        <v>42</v>
      </c>
      <c r="G91" s="2" t="s">
        <v>403</v>
      </c>
      <c r="H91" s="2">
        <v>7</v>
      </c>
      <c r="I91" s="2">
        <v>77.41</v>
      </c>
      <c r="J91" s="2">
        <v>0</v>
      </c>
      <c r="K91" s="2">
        <v>541.87</v>
      </c>
      <c r="L91" s="2">
        <v>23.48</v>
      </c>
      <c r="M91" s="2" t="s">
        <v>63</v>
      </c>
      <c r="N91" s="2" t="s">
        <v>78</v>
      </c>
      <c r="O91" s="2" t="s">
        <v>45</v>
      </c>
      <c r="P91" s="2" t="s">
        <v>26</v>
      </c>
    </row>
    <row r="92" spans="1:16" x14ac:dyDescent="0.35">
      <c r="A92" s="2" t="s">
        <v>404</v>
      </c>
      <c r="B92" s="10" t="s">
        <v>405</v>
      </c>
      <c r="C92" s="2" t="s">
        <v>406</v>
      </c>
      <c r="D92" s="2" t="s">
        <v>307</v>
      </c>
      <c r="E92" s="2" t="s">
        <v>136</v>
      </c>
      <c r="F92" s="2" t="s">
        <v>21</v>
      </c>
      <c r="G92" s="2" t="s">
        <v>22</v>
      </c>
      <c r="H92" s="2">
        <v>1</v>
      </c>
      <c r="I92" s="2">
        <v>115.18</v>
      </c>
      <c r="J92" s="2">
        <v>10</v>
      </c>
      <c r="K92" s="2">
        <v>115.18</v>
      </c>
      <c r="L92" s="2">
        <v>0</v>
      </c>
      <c r="M92" s="2" t="s">
        <v>53</v>
      </c>
      <c r="N92" s="2" t="s">
        <v>54</v>
      </c>
      <c r="O92" s="2" t="s">
        <v>45</v>
      </c>
      <c r="P92" s="2" t="s">
        <v>26</v>
      </c>
    </row>
    <row r="93" spans="1:16" x14ac:dyDescent="0.35">
      <c r="A93" s="2" t="s">
        <v>407</v>
      </c>
      <c r="B93" s="10" t="s">
        <v>401</v>
      </c>
      <c r="C93" s="2" t="s">
        <v>408</v>
      </c>
      <c r="D93" s="2" t="s">
        <v>409</v>
      </c>
      <c r="E93" s="2" t="s">
        <v>166</v>
      </c>
      <c r="F93" s="2" t="s">
        <v>71</v>
      </c>
      <c r="G93" s="2" t="s">
        <v>72</v>
      </c>
      <c r="H93" s="2">
        <v>2</v>
      </c>
      <c r="I93" s="2">
        <v>80.989999999999995</v>
      </c>
      <c r="J93" s="2">
        <v>0</v>
      </c>
      <c r="K93" s="2">
        <v>161.97999999999999</v>
      </c>
      <c r="L93" s="2">
        <v>0</v>
      </c>
      <c r="M93" s="2" t="s">
        <v>23</v>
      </c>
      <c r="N93" s="2" t="s">
        <v>103</v>
      </c>
      <c r="O93" s="2" t="s">
        <v>138</v>
      </c>
      <c r="P93" s="2" t="s">
        <v>46</v>
      </c>
    </row>
    <row r="94" spans="1:16" x14ac:dyDescent="0.35">
      <c r="A94" s="2" t="s">
        <v>410</v>
      </c>
      <c r="B94" s="10" t="s">
        <v>411</v>
      </c>
      <c r="C94" s="2" t="s">
        <v>412</v>
      </c>
      <c r="D94" s="2" t="s">
        <v>142</v>
      </c>
      <c r="E94" s="2" t="s">
        <v>82</v>
      </c>
      <c r="F94" s="2" t="s">
        <v>71</v>
      </c>
      <c r="G94" s="2" t="s">
        <v>162</v>
      </c>
      <c r="H94" s="2">
        <v>2</v>
      </c>
      <c r="I94" s="2">
        <v>9.09</v>
      </c>
      <c r="J94" s="2">
        <v>0</v>
      </c>
      <c r="K94" s="2">
        <v>18.18</v>
      </c>
      <c r="L94" s="2">
        <v>0</v>
      </c>
      <c r="M94" s="2" t="s">
        <v>73</v>
      </c>
      <c r="N94" s="2" t="s">
        <v>44</v>
      </c>
      <c r="O94" s="2" t="s">
        <v>36</v>
      </c>
      <c r="P94" s="2" t="s">
        <v>65</v>
      </c>
    </row>
    <row r="95" spans="1:16" x14ac:dyDescent="0.35">
      <c r="A95" s="2" t="s">
        <v>413</v>
      </c>
      <c r="B95" s="10" t="s">
        <v>414</v>
      </c>
      <c r="C95" s="2" t="s">
        <v>415</v>
      </c>
      <c r="D95" s="2" t="s">
        <v>107</v>
      </c>
      <c r="E95" s="2" t="s">
        <v>119</v>
      </c>
      <c r="F95" s="2" t="s">
        <v>21</v>
      </c>
      <c r="G95" s="2" t="s">
        <v>211</v>
      </c>
      <c r="H95" s="2">
        <v>4</v>
      </c>
      <c r="I95" s="2">
        <v>153.72999999999999</v>
      </c>
      <c r="J95" s="2">
        <v>15</v>
      </c>
      <c r="K95" s="2">
        <v>614.91999999999996</v>
      </c>
      <c r="L95" s="2">
        <v>9.11</v>
      </c>
      <c r="M95" s="2" t="s">
        <v>34</v>
      </c>
      <c r="N95" s="2" t="s">
        <v>54</v>
      </c>
      <c r="O95" s="2" t="s">
        <v>132</v>
      </c>
      <c r="P95" s="2" t="s">
        <v>65</v>
      </c>
    </row>
    <row r="96" spans="1:16" x14ac:dyDescent="0.35">
      <c r="A96" s="2" t="s">
        <v>416</v>
      </c>
      <c r="B96" s="10" t="s">
        <v>417</v>
      </c>
      <c r="C96" s="2" t="s">
        <v>418</v>
      </c>
      <c r="D96" s="2" t="s">
        <v>19</v>
      </c>
      <c r="E96" s="2" t="s">
        <v>20</v>
      </c>
      <c r="F96" s="2" t="s">
        <v>32</v>
      </c>
      <c r="G96" s="2" t="s">
        <v>109</v>
      </c>
      <c r="H96" s="2">
        <v>8</v>
      </c>
      <c r="I96" s="2">
        <v>222.87</v>
      </c>
      <c r="J96" s="2">
        <v>15</v>
      </c>
      <c r="K96" s="2">
        <v>1782.96</v>
      </c>
      <c r="L96" s="2">
        <v>0</v>
      </c>
      <c r="M96" s="2" t="s">
        <v>53</v>
      </c>
      <c r="N96" s="2" t="s">
        <v>152</v>
      </c>
      <c r="O96" s="2" t="s">
        <v>25</v>
      </c>
      <c r="P96" s="2" t="s">
        <v>207</v>
      </c>
    </row>
    <row r="97" spans="1:16" x14ac:dyDescent="0.35">
      <c r="A97" s="2" t="s">
        <v>419</v>
      </c>
      <c r="B97" s="10" t="s">
        <v>420</v>
      </c>
      <c r="C97" s="2" t="s">
        <v>106</v>
      </c>
      <c r="D97" s="2" t="s">
        <v>307</v>
      </c>
      <c r="E97" s="2" t="s">
        <v>136</v>
      </c>
      <c r="F97" s="2" t="s">
        <v>32</v>
      </c>
      <c r="G97" s="2" t="s">
        <v>157</v>
      </c>
      <c r="H97" s="2">
        <v>1</v>
      </c>
      <c r="I97" s="2">
        <v>236.83</v>
      </c>
      <c r="J97" s="2">
        <v>5</v>
      </c>
      <c r="K97" s="2">
        <v>236.83</v>
      </c>
      <c r="L97" s="2">
        <v>0</v>
      </c>
      <c r="M97" s="2" t="s">
        <v>53</v>
      </c>
      <c r="N97" s="2" t="s">
        <v>78</v>
      </c>
      <c r="O97" s="2" t="s">
        <v>25</v>
      </c>
      <c r="P97" s="2" t="s">
        <v>373</v>
      </c>
    </row>
    <row r="98" spans="1:16" x14ac:dyDescent="0.35">
      <c r="A98" s="2" t="s">
        <v>331</v>
      </c>
      <c r="B98" s="10" t="s">
        <v>332</v>
      </c>
      <c r="C98" s="2" t="s">
        <v>333</v>
      </c>
      <c r="D98" s="2" t="s">
        <v>69</v>
      </c>
      <c r="E98" s="2" t="s">
        <v>180</v>
      </c>
      <c r="F98" s="2" t="s">
        <v>71</v>
      </c>
      <c r="G98" s="2" t="s">
        <v>262</v>
      </c>
      <c r="H98" s="2">
        <v>8</v>
      </c>
      <c r="I98" s="2">
        <v>160.74</v>
      </c>
      <c r="J98" s="2">
        <v>0</v>
      </c>
      <c r="K98" s="2">
        <v>1285.92</v>
      </c>
      <c r="L98" s="2">
        <v>0</v>
      </c>
      <c r="M98" s="2" t="s">
        <v>23</v>
      </c>
      <c r="N98" s="2" t="s">
        <v>115</v>
      </c>
      <c r="O98" s="2" t="s">
        <v>132</v>
      </c>
      <c r="P98" s="2" t="s">
        <v>92</v>
      </c>
    </row>
    <row r="99" spans="1:16" x14ac:dyDescent="0.35">
      <c r="A99" s="2" t="s">
        <v>421</v>
      </c>
      <c r="B99" s="10" t="s">
        <v>422</v>
      </c>
      <c r="C99" s="2" t="s">
        <v>423</v>
      </c>
      <c r="D99" s="2" t="s">
        <v>171</v>
      </c>
      <c r="E99" s="2" t="s">
        <v>126</v>
      </c>
      <c r="F99" s="2" t="s">
        <v>42</v>
      </c>
      <c r="G99" s="2" t="s">
        <v>424</v>
      </c>
      <c r="H99" s="2">
        <v>8</v>
      </c>
      <c r="I99" s="2">
        <v>151.19999999999999</v>
      </c>
      <c r="J99" s="2">
        <v>0</v>
      </c>
      <c r="K99" s="2"/>
      <c r="L99" s="2">
        <v>0</v>
      </c>
      <c r="M99" s="2" t="s">
        <v>23</v>
      </c>
      <c r="N99" s="2" t="s">
        <v>44</v>
      </c>
      <c r="O99" s="2" t="s">
        <v>172</v>
      </c>
      <c r="P99" s="2" t="s">
        <v>26</v>
      </c>
    </row>
    <row r="100" spans="1:16" x14ac:dyDescent="0.35">
      <c r="A100" s="2" t="s">
        <v>425</v>
      </c>
      <c r="B100" s="10" t="s">
        <v>426</v>
      </c>
      <c r="C100" s="2" t="s">
        <v>427</v>
      </c>
      <c r="D100" s="2" t="s">
        <v>150</v>
      </c>
      <c r="E100" s="2" t="s">
        <v>20</v>
      </c>
      <c r="F100" s="2" t="s">
        <v>32</v>
      </c>
      <c r="G100" s="2" t="s">
        <v>277</v>
      </c>
      <c r="H100" s="2">
        <v>7</v>
      </c>
      <c r="I100" s="2">
        <v>77.87</v>
      </c>
      <c r="J100" s="2">
        <v>15</v>
      </c>
      <c r="K100" s="2">
        <v>545.09</v>
      </c>
      <c r="L100" s="2">
        <v>0</v>
      </c>
      <c r="M100" s="2" t="s">
        <v>53</v>
      </c>
      <c r="N100" s="2" t="s">
        <v>24</v>
      </c>
      <c r="O100" s="2" t="s">
        <v>45</v>
      </c>
      <c r="P100" s="2" t="s">
        <v>46</v>
      </c>
    </row>
    <row r="101" spans="1:16" x14ac:dyDescent="0.35">
      <c r="A101" s="2" t="s">
        <v>428</v>
      </c>
      <c r="B101" s="10" t="s">
        <v>429</v>
      </c>
      <c r="C101" s="2" t="s">
        <v>430</v>
      </c>
      <c r="D101" s="2" t="s">
        <v>89</v>
      </c>
      <c r="E101" s="2" t="s">
        <v>136</v>
      </c>
      <c r="F101" s="2" t="s">
        <v>32</v>
      </c>
      <c r="G101" s="2" t="s">
        <v>91</v>
      </c>
      <c r="H101" s="2">
        <v>4</v>
      </c>
      <c r="I101" s="2">
        <v>114.22</v>
      </c>
      <c r="J101" s="2">
        <v>0</v>
      </c>
      <c r="K101" s="2">
        <v>456.88</v>
      </c>
      <c r="L101" s="2">
        <v>0</v>
      </c>
      <c r="M101" s="2" t="s">
        <v>73</v>
      </c>
      <c r="N101" s="2" t="s">
        <v>54</v>
      </c>
      <c r="O101" s="2" t="s">
        <v>85</v>
      </c>
      <c r="P101" s="2" t="s">
        <v>26</v>
      </c>
    </row>
    <row r="102" spans="1:16" x14ac:dyDescent="0.35">
      <c r="A102" s="2" t="s">
        <v>431</v>
      </c>
      <c r="B102" s="10" t="s">
        <v>432</v>
      </c>
      <c r="C102" s="2" t="s">
        <v>433</v>
      </c>
      <c r="D102" s="2" t="s">
        <v>50</v>
      </c>
      <c r="E102" s="2" t="s">
        <v>51</v>
      </c>
      <c r="F102" s="2" t="s">
        <v>42</v>
      </c>
      <c r="G102" s="2" t="s">
        <v>62</v>
      </c>
      <c r="H102" s="2">
        <v>2</v>
      </c>
      <c r="I102" s="2">
        <v>74.84</v>
      </c>
      <c r="J102" s="2">
        <v>0</v>
      </c>
      <c r="K102" s="2">
        <v>149.68</v>
      </c>
      <c r="L102" s="2">
        <v>10.6</v>
      </c>
      <c r="M102" s="2" t="s">
        <v>63</v>
      </c>
      <c r="N102" s="2" t="s">
        <v>44</v>
      </c>
      <c r="O102" s="2" t="s">
        <v>36</v>
      </c>
      <c r="P102" s="2" t="s">
        <v>26</v>
      </c>
    </row>
    <row r="103" spans="1:16" x14ac:dyDescent="0.35">
      <c r="A103" s="2" t="s">
        <v>434</v>
      </c>
      <c r="B103" s="10" t="s">
        <v>435</v>
      </c>
      <c r="C103" s="2" t="s">
        <v>436</v>
      </c>
      <c r="D103" s="2" t="s">
        <v>107</v>
      </c>
      <c r="E103" s="2" t="s">
        <v>119</v>
      </c>
      <c r="F103" s="2" t="s">
        <v>21</v>
      </c>
      <c r="G103" s="2" t="s">
        <v>437</v>
      </c>
      <c r="H103" s="2">
        <v>6</v>
      </c>
      <c r="I103" s="2">
        <v>176.9</v>
      </c>
      <c r="J103" s="2">
        <v>15</v>
      </c>
      <c r="K103" s="2">
        <v>1061.4000000000001</v>
      </c>
      <c r="L103" s="2">
        <v>11.19</v>
      </c>
      <c r="M103" s="2" t="s">
        <v>63</v>
      </c>
      <c r="N103" s="2" t="s">
        <v>98</v>
      </c>
      <c r="O103" s="2" t="s">
        <v>64</v>
      </c>
      <c r="P103" s="2" t="s">
        <v>207</v>
      </c>
    </row>
    <row r="104" spans="1:16" x14ac:dyDescent="0.35">
      <c r="A104" s="2" t="s">
        <v>204</v>
      </c>
      <c r="B104" s="10" t="s">
        <v>205</v>
      </c>
      <c r="C104" s="2" t="s">
        <v>206</v>
      </c>
      <c r="D104" s="2" t="s">
        <v>171</v>
      </c>
      <c r="E104" s="2" t="s">
        <v>126</v>
      </c>
      <c r="F104" s="2" t="s">
        <v>71</v>
      </c>
      <c r="G104" s="2" t="s">
        <v>102</v>
      </c>
      <c r="H104" s="2">
        <v>6</v>
      </c>
      <c r="I104" s="2">
        <v>56.86</v>
      </c>
      <c r="J104" s="2">
        <v>15</v>
      </c>
      <c r="K104" s="2">
        <v>341.16</v>
      </c>
      <c r="L104" s="2">
        <v>0</v>
      </c>
      <c r="M104" s="2" t="s">
        <v>73</v>
      </c>
      <c r="N104" s="2" t="s">
        <v>103</v>
      </c>
      <c r="O104" s="2" t="s">
        <v>132</v>
      </c>
      <c r="P104" s="2" t="s">
        <v>207</v>
      </c>
    </row>
    <row r="105" spans="1:16" x14ac:dyDescent="0.35">
      <c r="A105" s="2" t="s">
        <v>438</v>
      </c>
      <c r="B105" s="10" t="s">
        <v>439</v>
      </c>
      <c r="C105" s="2" t="s">
        <v>440</v>
      </c>
      <c r="D105" s="2" t="s">
        <v>89</v>
      </c>
      <c r="E105" s="2" t="s">
        <v>90</v>
      </c>
      <c r="F105" s="2" t="s">
        <v>42</v>
      </c>
      <c r="G105" s="2" t="s">
        <v>43</v>
      </c>
      <c r="H105" s="2">
        <v>4</v>
      </c>
      <c r="I105" s="2">
        <v>106.38</v>
      </c>
      <c r="J105" s="2">
        <v>0</v>
      </c>
      <c r="K105" s="2">
        <v>425.52</v>
      </c>
      <c r="L105" s="2">
        <v>0</v>
      </c>
      <c r="M105" s="2" t="s">
        <v>53</v>
      </c>
      <c r="N105" s="2" t="s">
        <v>35</v>
      </c>
      <c r="O105" s="2" t="s">
        <v>55</v>
      </c>
      <c r="P105" s="2" t="s">
        <v>65</v>
      </c>
    </row>
    <row r="106" spans="1:16" x14ac:dyDescent="0.35">
      <c r="A106" s="2" t="s">
        <v>441</v>
      </c>
      <c r="B106" s="10" t="s">
        <v>442</v>
      </c>
      <c r="C106" s="2" t="s">
        <v>443</v>
      </c>
      <c r="D106" s="2" t="s">
        <v>201</v>
      </c>
      <c r="E106" s="2" t="s">
        <v>202</v>
      </c>
      <c r="F106" s="2" t="s">
        <v>120</v>
      </c>
      <c r="G106" s="2" t="s">
        <v>127</v>
      </c>
      <c r="H106" s="2">
        <v>5</v>
      </c>
      <c r="I106" s="2">
        <v>216.77</v>
      </c>
      <c r="J106" s="2"/>
      <c r="K106" s="2">
        <v>1083.8499999999999</v>
      </c>
      <c r="L106" s="2">
        <v>15.72</v>
      </c>
      <c r="M106" s="2" t="s">
        <v>34</v>
      </c>
      <c r="N106" s="2" t="s">
        <v>98</v>
      </c>
      <c r="O106" s="2" t="s">
        <v>85</v>
      </c>
      <c r="P106" s="2" t="s">
        <v>26</v>
      </c>
    </row>
    <row r="107" spans="1:16" x14ac:dyDescent="0.35">
      <c r="A107" s="2" t="s">
        <v>444</v>
      </c>
      <c r="B107" s="10" t="s">
        <v>58</v>
      </c>
      <c r="C107" s="2" t="s">
        <v>445</v>
      </c>
      <c r="D107" s="2" t="s">
        <v>113</v>
      </c>
      <c r="E107" s="2" t="s">
        <v>51</v>
      </c>
      <c r="F107" s="2" t="s">
        <v>32</v>
      </c>
      <c r="G107" s="2" t="s">
        <v>390</v>
      </c>
      <c r="H107" s="2">
        <v>4</v>
      </c>
      <c r="I107" s="2">
        <v>113.63</v>
      </c>
      <c r="J107" s="2">
        <v>0</v>
      </c>
      <c r="K107" s="2">
        <v>454.52</v>
      </c>
      <c r="L107" s="2">
        <v>20.96</v>
      </c>
      <c r="M107" s="2" t="s">
        <v>128</v>
      </c>
      <c r="N107" s="2" t="s">
        <v>115</v>
      </c>
      <c r="O107" s="2" t="s">
        <v>55</v>
      </c>
      <c r="P107" s="2" t="s">
        <v>65</v>
      </c>
    </row>
    <row r="108" spans="1:16" x14ac:dyDescent="0.35">
      <c r="A108" s="2" t="s">
        <v>446</v>
      </c>
      <c r="B108" s="10" t="s">
        <v>341</v>
      </c>
      <c r="C108" s="2" t="s">
        <v>447</v>
      </c>
      <c r="D108" s="2" t="s">
        <v>60</v>
      </c>
      <c r="E108" s="2" t="s">
        <v>51</v>
      </c>
      <c r="F108" s="2" t="s">
        <v>32</v>
      </c>
      <c r="G108" s="2" t="s">
        <v>151</v>
      </c>
      <c r="H108" s="2">
        <v>3</v>
      </c>
      <c r="I108" s="2">
        <v>66.17</v>
      </c>
      <c r="J108" s="2">
        <v>0</v>
      </c>
      <c r="K108" s="2">
        <v>198.51</v>
      </c>
      <c r="L108" s="2">
        <v>0</v>
      </c>
      <c r="M108" s="2" t="s">
        <v>73</v>
      </c>
      <c r="N108" s="2" t="s">
        <v>35</v>
      </c>
      <c r="O108" s="2" t="s">
        <v>45</v>
      </c>
      <c r="P108" s="2" t="s">
        <v>65</v>
      </c>
    </row>
    <row r="109" spans="1:16" x14ac:dyDescent="0.35">
      <c r="A109" s="2" t="s">
        <v>448</v>
      </c>
      <c r="B109" s="10" t="s">
        <v>365</v>
      </c>
      <c r="C109" s="2" t="s">
        <v>449</v>
      </c>
      <c r="D109" s="2" t="s">
        <v>69</v>
      </c>
      <c r="E109" s="2" t="s">
        <v>180</v>
      </c>
      <c r="F109" s="2" t="s">
        <v>120</v>
      </c>
      <c r="G109" s="2" t="s">
        <v>450</v>
      </c>
      <c r="H109" s="2">
        <v>1</v>
      </c>
      <c r="I109" s="2">
        <v>188.25</v>
      </c>
      <c r="J109" s="2">
        <v>0</v>
      </c>
      <c r="K109" s="2">
        <v>188.25</v>
      </c>
      <c r="L109" s="2">
        <v>7.41</v>
      </c>
      <c r="M109" s="2" t="s">
        <v>63</v>
      </c>
      <c r="N109" s="2" t="s">
        <v>98</v>
      </c>
      <c r="O109" s="2" t="s">
        <v>85</v>
      </c>
      <c r="P109" s="2" t="s">
        <v>65</v>
      </c>
    </row>
    <row r="110" spans="1:16" x14ac:dyDescent="0.35">
      <c r="A110" s="2" t="s">
        <v>451</v>
      </c>
      <c r="B110" s="10" t="s">
        <v>452</v>
      </c>
      <c r="C110" s="2" t="s">
        <v>453</v>
      </c>
      <c r="D110" s="2" t="s">
        <v>30</v>
      </c>
      <c r="E110" s="2" t="s">
        <v>202</v>
      </c>
      <c r="F110" s="2" t="s">
        <v>71</v>
      </c>
      <c r="G110" s="2" t="s">
        <v>162</v>
      </c>
      <c r="H110" s="2">
        <v>5</v>
      </c>
      <c r="I110" s="2">
        <v>45.91</v>
      </c>
      <c r="J110" s="2">
        <v>0</v>
      </c>
      <c r="K110" s="2">
        <v>229.55</v>
      </c>
      <c r="L110" s="2">
        <v>24.43</v>
      </c>
      <c r="M110" s="2" t="s">
        <v>128</v>
      </c>
      <c r="N110" s="2" t="s">
        <v>78</v>
      </c>
      <c r="O110" s="2" t="s">
        <v>64</v>
      </c>
      <c r="P110" s="2" t="s">
        <v>92</v>
      </c>
    </row>
    <row r="111" spans="1:16" x14ac:dyDescent="0.35">
      <c r="A111" s="2" t="s">
        <v>454</v>
      </c>
      <c r="B111" s="10" t="s">
        <v>455</v>
      </c>
      <c r="C111" s="2" t="s">
        <v>456</v>
      </c>
      <c r="D111" s="2" t="s">
        <v>113</v>
      </c>
      <c r="E111" s="2" t="s">
        <v>51</v>
      </c>
      <c r="F111" s="2" t="s">
        <v>42</v>
      </c>
      <c r="G111" s="2" t="s">
        <v>403</v>
      </c>
      <c r="H111" s="2">
        <v>6</v>
      </c>
      <c r="I111" s="2">
        <v>41.98</v>
      </c>
      <c r="J111" s="2">
        <v>0</v>
      </c>
      <c r="K111" s="2">
        <v>251.88</v>
      </c>
      <c r="L111" s="2">
        <v>0</v>
      </c>
      <c r="M111" s="2" t="s">
        <v>73</v>
      </c>
      <c r="N111" s="2" t="s">
        <v>35</v>
      </c>
      <c r="O111" s="2" t="s">
        <v>132</v>
      </c>
      <c r="P111" s="2" t="s">
        <v>46</v>
      </c>
    </row>
    <row r="112" spans="1:16" x14ac:dyDescent="0.35">
      <c r="A112" s="2" t="s">
        <v>457</v>
      </c>
      <c r="B112" s="10" t="s">
        <v>458</v>
      </c>
      <c r="C112" s="2" t="s">
        <v>459</v>
      </c>
      <c r="D112" s="2" t="s">
        <v>107</v>
      </c>
      <c r="E112" s="2" t="s">
        <v>20</v>
      </c>
      <c r="F112" s="2" t="s">
        <v>42</v>
      </c>
      <c r="G112" s="2" t="s">
        <v>185</v>
      </c>
      <c r="H112" s="2">
        <v>7</v>
      </c>
      <c r="I112" s="2">
        <v>218.97</v>
      </c>
      <c r="J112" s="2">
        <v>20</v>
      </c>
      <c r="K112" s="2">
        <v>1532.79</v>
      </c>
      <c r="L112" s="2">
        <v>19.399999999999999</v>
      </c>
      <c r="M112" s="2" t="s">
        <v>34</v>
      </c>
      <c r="N112" s="2" t="s">
        <v>54</v>
      </c>
      <c r="O112" s="2" t="s">
        <v>132</v>
      </c>
      <c r="P112" s="2" t="s">
        <v>207</v>
      </c>
    </row>
    <row r="113" spans="1:16" x14ac:dyDescent="0.35">
      <c r="A113" s="2" t="s">
        <v>460</v>
      </c>
      <c r="B113" s="10" t="s">
        <v>461</v>
      </c>
      <c r="C113" s="2" t="s">
        <v>462</v>
      </c>
      <c r="D113" s="2" t="s">
        <v>89</v>
      </c>
      <c r="E113" s="2" t="s">
        <v>166</v>
      </c>
      <c r="F113" s="2" t="s">
        <v>21</v>
      </c>
      <c r="G113" s="2" t="s">
        <v>97</v>
      </c>
      <c r="H113" s="2">
        <v>2</v>
      </c>
      <c r="I113" s="2">
        <v>125.12</v>
      </c>
      <c r="J113" s="2">
        <v>5</v>
      </c>
      <c r="K113" s="2">
        <v>250.24</v>
      </c>
      <c r="L113" s="2">
        <v>0</v>
      </c>
      <c r="M113" s="2" t="s">
        <v>23</v>
      </c>
      <c r="N113" s="2" t="s">
        <v>24</v>
      </c>
      <c r="O113" s="2" t="s">
        <v>172</v>
      </c>
      <c r="P113" s="2" t="s">
        <v>46</v>
      </c>
    </row>
    <row r="114" spans="1:16" x14ac:dyDescent="0.35">
      <c r="A114" s="2" t="s">
        <v>463</v>
      </c>
      <c r="B114" s="10" t="s">
        <v>464</v>
      </c>
      <c r="C114" s="2" t="s">
        <v>465</v>
      </c>
      <c r="D114" s="2" t="s">
        <v>107</v>
      </c>
      <c r="E114" s="2" t="s">
        <v>20</v>
      </c>
      <c r="F114" s="2" t="s">
        <v>42</v>
      </c>
      <c r="G114" s="2" t="s">
        <v>308</v>
      </c>
      <c r="H114" s="2">
        <v>5</v>
      </c>
      <c r="I114" s="2">
        <v>99.92</v>
      </c>
      <c r="J114" s="2">
        <v>15</v>
      </c>
      <c r="K114" s="2">
        <v>499.6</v>
      </c>
      <c r="L114" s="2">
        <v>24.18</v>
      </c>
      <c r="M114" s="2" t="s">
        <v>128</v>
      </c>
      <c r="N114" s="2" t="s">
        <v>152</v>
      </c>
      <c r="O114" s="2" t="s">
        <v>55</v>
      </c>
      <c r="P114" s="2" t="s">
        <v>26</v>
      </c>
    </row>
    <row r="115" spans="1:16" x14ac:dyDescent="0.35">
      <c r="A115" s="2" t="s">
        <v>466</v>
      </c>
      <c r="B115" s="10" t="s">
        <v>467</v>
      </c>
      <c r="C115" s="2" t="s">
        <v>326</v>
      </c>
      <c r="D115" s="2" t="s">
        <v>60</v>
      </c>
      <c r="E115" s="2" t="s">
        <v>51</v>
      </c>
      <c r="F115" s="2" t="s">
        <v>21</v>
      </c>
      <c r="G115" s="2" t="s">
        <v>273</v>
      </c>
      <c r="H115" s="2">
        <v>6</v>
      </c>
      <c r="I115" s="2">
        <v>33.4</v>
      </c>
      <c r="J115" s="2">
        <v>15</v>
      </c>
      <c r="K115" s="2">
        <v>200.4</v>
      </c>
      <c r="L115" s="2">
        <v>0</v>
      </c>
      <c r="M115" s="2" t="s">
        <v>23</v>
      </c>
      <c r="N115" s="2" t="s">
        <v>35</v>
      </c>
      <c r="O115" s="2" t="s">
        <v>85</v>
      </c>
      <c r="P115" s="2" t="s">
        <v>26</v>
      </c>
    </row>
    <row r="116" spans="1:16" x14ac:dyDescent="0.35">
      <c r="A116" s="2" t="s">
        <v>468</v>
      </c>
      <c r="B116" s="10" t="s">
        <v>469</v>
      </c>
      <c r="C116" s="2" t="s">
        <v>470</v>
      </c>
      <c r="D116" s="2" t="s">
        <v>60</v>
      </c>
      <c r="E116" s="2" t="s">
        <v>51</v>
      </c>
      <c r="F116" s="2" t="s">
        <v>120</v>
      </c>
      <c r="G116" s="2" t="s">
        <v>137</v>
      </c>
      <c r="H116" s="2">
        <v>4</v>
      </c>
      <c r="I116" s="2">
        <v>57.71</v>
      </c>
      <c r="J116" s="2">
        <v>20</v>
      </c>
      <c r="K116" s="2">
        <v>230.84</v>
      </c>
      <c r="L116" s="2">
        <v>0</v>
      </c>
      <c r="M116" s="2" t="s">
        <v>53</v>
      </c>
      <c r="N116" s="2" t="s">
        <v>24</v>
      </c>
      <c r="O116" s="2" t="s">
        <v>132</v>
      </c>
      <c r="P116" s="2" t="s">
        <v>26</v>
      </c>
    </row>
    <row r="117" spans="1:16" x14ac:dyDescent="0.35">
      <c r="A117" s="2" t="s">
        <v>245</v>
      </c>
      <c r="B117" s="10" t="s">
        <v>246</v>
      </c>
      <c r="C117" s="2" t="s">
        <v>247</v>
      </c>
      <c r="D117" s="2" t="s">
        <v>96</v>
      </c>
      <c r="E117" s="2" t="s">
        <v>180</v>
      </c>
      <c r="F117" s="2" t="s">
        <v>21</v>
      </c>
      <c r="G117" s="2" t="s">
        <v>248</v>
      </c>
      <c r="H117" s="2">
        <v>1</v>
      </c>
      <c r="I117" s="2">
        <v>169.97</v>
      </c>
      <c r="J117" s="2">
        <v>0</v>
      </c>
      <c r="K117" s="2">
        <v>169.97</v>
      </c>
      <c r="L117" s="2">
        <v>0</v>
      </c>
      <c r="M117" s="2" t="s">
        <v>73</v>
      </c>
      <c r="N117" s="2" t="s">
        <v>84</v>
      </c>
      <c r="O117" s="2" t="s">
        <v>64</v>
      </c>
      <c r="P117" s="2" t="s">
        <v>26</v>
      </c>
    </row>
    <row r="118" spans="1:16" x14ac:dyDescent="0.35">
      <c r="A118" s="2" t="s">
        <v>471</v>
      </c>
      <c r="B118" s="10" t="s">
        <v>199</v>
      </c>
      <c r="C118" s="2" t="s">
        <v>472</v>
      </c>
      <c r="D118" s="2" t="s">
        <v>171</v>
      </c>
      <c r="E118" s="2" t="s">
        <v>31</v>
      </c>
      <c r="F118" s="2" t="s">
        <v>32</v>
      </c>
      <c r="G118" s="2" t="s">
        <v>277</v>
      </c>
      <c r="H118" s="2">
        <v>2</v>
      </c>
      <c r="I118" s="2">
        <v>27.15</v>
      </c>
      <c r="J118" s="2">
        <v>5</v>
      </c>
      <c r="K118" s="2">
        <v>54.3</v>
      </c>
      <c r="L118" s="2">
        <v>17.579999999999998</v>
      </c>
      <c r="M118" s="2" t="s">
        <v>34</v>
      </c>
      <c r="N118" s="2" t="s">
        <v>24</v>
      </c>
      <c r="O118" s="2" t="s">
        <v>25</v>
      </c>
      <c r="P118" s="2" t="s">
        <v>158</v>
      </c>
    </row>
    <row r="119" spans="1:16" x14ac:dyDescent="0.35">
      <c r="A119" s="2" t="s">
        <v>473</v>
      </c>
      <c r="B119" s="10" t="s">
        <v>474</v>
      </c>
      <c r="C119" s="2" t="s">
        <v>475</v>
      </c>
      <c r="D119" s="2" t="s">
        <v>19</v>
      </c>
      <c r="E119" s="2" t="s">
        <v>20</v>
      </c>
      <c r="F119" s="2" t="s">
        <v>71</v>
      </c>
      <c r="G119" s="2" t="s">
        <v>237</v>
      </c>
      <c r="H119" s="2">
        <v>6</v>
      </c>
      <c r="I119" s="2">
        <v>211.42</v>
      </c>
      <c r="J119" s="2">
        <v>20</v>
      </c>
      <c r="K119" s="2">
        <v>1268.52</v>
      </c>
      <c r="L119" s="2">
        <v>0</v>
      </c>
      <c r="M119" s="2" t="s">
        <v>53</v>
      </c>
      <c r="N119" s="2" t="s">
        <v>115</v>
      </c>
      <c r="O119" s="2" t="s">
        <v>64</v>
      </c>
      <c r="P119" s="2" t="s">
        <v>65</v>
      </c>
    </row>
    <row r="120" spans="1:16" x14ac:dyDescent="0.35">
      <c r="A120" s="2" t="s">
        <v>476</v>
      </c>
      <c r="B120" s="10" t="s">
        <v>477</v>
      </c>
      <c r="C120" s="2" t="s">
        <v>478</v>
      </c>
      <c r="D120" s="2" t="s">
        <v>171</v>
      </c>
      <c r="E120" s="2" t="s">
        <v>202</v>
      </c>
      <c r="F120" s="2" t="s">
        <v>42</v>
      </c>
      <c r="G120" s="2" t="s">
        <v>294</v>
      </c>
      <c r="H120" s="2">
        <v>3</v>
      </c>
      <c r="I120" s="2">
        <v>79.510000000000005</v>
      </c>
      <c r="J120" s="2">
        <v>0</v>
      </c>
      <c r="K120" s="2">
        <v>238.53</v>
      </c>
      <c r="L120" s="2">
        <v>8.9600000000000009</v>
      </c>
      <c r="M120" s="2" t="s">
        <v>34</v>
      </c>
      <c r="N120" s="2" t="s">
        <v>78</v>
      </c>
      <c r="O120" s="2" t="s">
        <v>55</v>
      </c>
      <c r="P120" s="2" t="s">
        <v>313</v>
      </c>
    </row>
    <row r="121" spans="1:16" x14ac:dyDescent="0.35">
      <c r="A121" s="2" t="s">
        <v>479</v>
      </c>
      <c r="B121" s="10" t="s">
        <v>480</v>
      </c>
      <c r="C121" s="2" t="s">
        <v>481</v>
      </c>
      <c r="D121" s="2" t="s">
        <v>113</v>
      </c>
      <c r="E121" s="2" t="s">
        <v>51</v>
      </c>
      <c r="F121" s="2" t="s">
        <v>32</v>
      </c>
      <c r="G121" s="2" t="s">
        <v>91</v>
      </c>
      <c r="H121" s="2">
        <v>3</v>
      </c>
      <c r="I121" s="2">
        <v>129.83000000000001</v>
      </c>
      <c r="J121" s="2">
        <v>5</v>
      </c>
      <c r="K121" s="2">
        <v>389.49</v>
      </c>
      <c r="L121" s="2">
        <v>0</v>
      </c>
      <c r="M121" s="2" t="s">
        <v>73</v>
      </c>
      <c r="N121" s="2" t="s">
        <v>98</v>
      </c>
      <c r="O121" s="2" t="s">
        <v>172</v>
      </c>
      <c r="P121" s="2" t="s">
        <v>207</v>
      </c>
    </row>
    <row r="122" spans="1:16" x14ac:dyDescent="0.35">
      <c r="A122" s="2" t="s">
        <v>482</v>
      </c>
      <c r="B122" s="10" t="s">
        <v>483</v>
      </c>
      <c r="C122" s="2" t="s">
        <v>484</v>
      </c>
      <c r="D122" s="2" t="s">
        <v>50</v>
      </c>
      <c r="E122" s="2" t="s">
        <v>61</v>
      </c>
      <c r="F122" s="2" t="s">
        <v>21</v>
      </c>
      <c r="G122" s="2" t="s">
        <v>211</v>
      </c>
      <c r="H122" s="2">
        <v>4</v>
      </c>
      <c r="I122" s="2">
        <v>108.01</v>
      </c>
      <c r="J122" s="2">
        <v>10</v>
      </c>
      <c r="K122" s="2">
        <v>432.04</v>
      </c>
      <c r="L122" s="2">
        <v>0</v>
      </c>
      <c r="M122" s="2" t="s">
        <v>73</v>
      </c>
      <c r="N122" s="2" t="s">
        <v>98</v>
      </c>
      <c r="O122" s="2" t="s">
        <v>132</v>
      </c>
      <c r="P122" s="2" t="s">
        <v>26</v>
      </c>
    </row>
    <row r="123" spans="1:16" x14ac:dyDescent="0.35">
      <c r="A123" s="2" t="s">
        <v>468</v>
      </c>
      <c r="B123" s="10" t="s">
        <v>469</v>
      </c>
      <c r="C123" s="2" t="s">
        <v>470</v>
      </c>
      <c r="D123" s="2" t="s">
        <v>60</v>
      </c>
      <c r="E123" s="2" t="s">
        <v>51</v>
      </c>
      <c r="F123" s="2" t="s">
        <v>120</v>
      </c>
      <c r="G123" s="2" t="s">
        <v>137</v>
      </c>
      <c r="H123" s="2">
        <v>4</v>
      </c>
      <c r="I123" s="2">
        <v>57.71</v>
      </c>
      <c r="J123" s="2">
        <v>20</v>
      </c>
      <c r="K123" s="2">
        <v>230.84</v>
      </c>
      <c r="L123" s="2">
        <v>0</v>
      </c>
      <c r="M123" s="2" t="s">
        <v>53</v>
      </c>
      <c r="N123" s="2" t="s">
        <v>24</v>
      </c>
      <c r="O123" s="2" t="s">
        <v>132</v>
      </c>
      <c r="P123" s="2" t="s">
        <v>26</v>
      </c>
    </row>
    <row r="124" spans="1:16" x14ac:dyDescent="0.35">
      <c r="A124" s="2" t="s">
        <v>485</v>
      </c>
      <c r="B124" s="10" t="s">
        <v>486</v>
      </c>
      <c r="C124" s="2" t="s">
        <v>487</v>
      </c>
      <c r="D124" s="2" t="s">
        <v>113</v>
      </c>
      <c r="E124" s="2" t="s">
        <v>51</v>
      </c>
      <c r="F124" s="2" t="s">
        <v>21</v>
      </c>
      <c r="G124" s="2" t="s">
        <v>22</v>
      </c>
      <c r="H124" s="2">
        <v>5</v>
      </c>
      <c r="I124" s="2">
        <v>57.81</v>
      </c>
      <c r="J124" s="2">
        <v>0</v>
      </c>
      <c r="K124" s="2">
        <v>289.05</v>
      </c>
      <c r="L124" s="2">
        <v>0</v>
      </c>
      <c r="M124" s="2" t="s">
        <v>23</v>
      </c>
      <c r="N124" s="2" t="s">
        <v>103</v>
      </c>
      <c r="O124" s="2" t="s">
        <v>45</v>
      </c>
      <c r="P124" s="2" t="s">
        <v>46</v>
      </c>
    </row>
    <row r="125" spans="1:16" x14ac:dyDescent="0.35">
      <c r="A125" s="2" t="s">
        <v>488</v>
      </c>
      <c r="B125" s="10" t="s">
        <v>489</v>
      </c>
      <c r="C125" s="2" t="s">
        <v>490</v>
      </c>
      <c r="D125" s="2" t="s">
        <v>96</v>
      </c>
      <c r="E125" s="2" t="s">
        <v>82</v>
      </c>
      <c r="F125" s="2" t="s">
        <v>21</v>
      </c>
      <c r="G125" s="2" t="s">
        <v>52</v>
      </c>
      <c r="H125" s="2">
        <v>2</v>
      </c>
      <c r="I125" s="2">
        <v>184.08</v>
      </c>
      <c r="J125" s="2">
        <v>0</v>
      </c>
      <c r="K125" s="2">
        <v>368.16</v>
      </c>
      <c r="L125" s="2">
        <v>8.52</v>
      </c>
      <c r="M125" s="2" t="s">
        <v>34</v>
      </c>
      <c r="N125" s="2" t="s">
        <v>35</v>
      </c>
      <c r="O125" s="2" t="s">
        <v>64</v>
      </c>
      <c r="P125" s="2" t="s">
        <v>207</v>
      </c>
    </row>
    <row r="126" spans="1:16" x14ac:dyDescent="0.35">
      <c r="A126" s="2" t="s">
        <v>491</v>
      </c>
      <c r="B126" s="10" t="s">
        <v>246</v>
      </c>
      <c r="C126" s="2" t="s">
        <v>492</v>
      </c>
      <c r="D126" s="2" t="s">
        <v>30</v>
      </c>
      <c r="E126" s="2" t="s">
        <v>126</v>
      </c>
      <c r="F126" s="2" t="s">
        <v>120</v>
      </c>
      <c r="G126" s="2" t="s">
        <v>197</v>
      </c>
      <c r="H126" s="2">
        <v>5</v>
      </c>
      <c r="I126" s="2">
        <v>112.59</v>
      </c>
      <c r="J126" s="2">
        <v>10</v>
      </c>
      <c r="K126" s="2">
        <v>562.95000000000005</v>
      </c>
      <c r="L126" s="2">
        <v>0</v>
      </c>
      <c r="M126" s="2" t="s">
        <v>73</v>
      </c>
      <c r="N126" s="2" t="s">
        <v>24</v>
      </c>
      <c r="O126" s="2" t="s">
        <v>85</v>
      </c>
      <c r="P126" s="2" t="s">
        <v>46</v>
      </c>
    </row>
    <row r="127" spans="1:16" x14ac:dyDescent="0.35">
      <c r="A127" s="2" t="s">
        <v>116</v>
      </c>
      <c r="B127" s="10" t="s">
        <v>117</v>
      </c>
      <c r="C127" s="2" t="s">
        <v>118</v>
      </c>
      <c r="D127" s="2" t="s">
        <v>19</v>
      </c>
      <c r="E127" s="2" t="s">
        <v>119</v>
      </c>
      <c r="F127" s="2" t="s">
        <v>120</v>
      </c>
      <c r="G127" s="2" t="s">
        <v>121</v>
      </c>
      <c r="H127" s="2">
        <v>1</v>
      </c>
      <c r="I127" s="2">
        <v>61.09</v>
      </c>
      <c r="J127" s="2">
        <v>10</v>
      </c>
      <c r="K127" s="2">
        <v>61.09</v>
      </c>
      <c r="L127" s="2">
        <v>20.05</v>
      </c>
      <c r="M127" s="2" t="s">
        <v>34</v>
      </c>
      <c r="N127" s="2" t="s">
        <v>98</v>
      </c>
      <c r="O127" s="2" t="s">
        <v>85</v>
      </c>
      <c r="P127" s="2" t="s">
        <v>65</v>
      </c>
    </row>
    <row r="128" spans="1:16" x14ac:dyDescent="0.35">
      <c r="A128" s="2" t="s">
        <v>493</v>
      </c>
      <c r="B128" s="10" t="s">
        <v>494</v>
      </c>
      <c r="C128" s="2" t="s">
        <v>445</v>
      </c>
      <c r="D128" s="2" t="s">
        <v>171</v>
      </c>
      <c r="E128" s="2" t="s">
        <v>126</v>
      </c>
      <c r="F128" s="2" t="s">
        <v>32</v>
      </c>
      <c r="G128" s="2" t="s">
        <v>495</v>
      </c>
      <c r="H128" s="2">
        <v>8</v>
      </c>
      <c r="I128" s="2">
        <v>83.13</v>
      </c>
      <c r="J128" s="2">
        <v>10</v>
      </c>
      <c r="K128" s="2">
        <v>665.04</v>
      </c>
      <c r="L128" s="2">
        <v>0</v>
      </c>
      <c r="M128" s="2" t="s">
        <v>53</v>
      </c>
      <c r="N128" s="2" t="s">
        <v>115</v>
      </c>
      <c r="O128" s="2" t="s">
        <v>138</v>
      </c>
      <c r="P128" s="2" t="s">
        <v>146</v>
      </c>
    </row>
    <row r="129" spans="1:16" x14ac:dyDescent="0.35">
      <c r="A129" s="2" t="s">
        <v>496</v>
      </c>
      <c r="B129" s="10" t="s">
        <v>497</v>
      </c>
      <c r="C129" s="2" t="s">
        <v>498</v>
      </c>
      <c r="D129" s="2" t="s">
        <v>69</v>
      </c>
      <c r="E129" s="2" t="s">
        <v>70</v>
      </c>
      <c r="F129" s="2" t="s">
        <v>42</v>
      </c>
      <c r="G129" s="2" t="s">
        <v>294</v>
      </c>
      <c r="H129" s="2">
        <v>6</v>
      </c>
      <c r="I129" s="2">
        <v>169.15</v>
      </c>
      <c r="J129" s="2">
        <v>0</v>
      </c>
      <c r="K129" s="2">
        <v>1014.9</v>
      </c>
      <c r="L129" s="2">
        <v>0</v>
      </c>
      <c r="M129" s="2" t="s">
        <v>23</v>
      </c>
      <c r="N129" s="2" t="s">
        <v>115</v>
      </c>
      <c r="O129" s="2" t="s">
        <v>138</v>
      </c>
      <c r="P129" s="2" t="s">
        <v>313</v>
      </c>
    </row>
    <row r="130" spans="1:16" x14ac:dyDescent="0.35">
      <c r="A130" s="2" t="s">
        <v>499</v>
      </c>
      <c r="B130" s="10" t="s">
        <v>500</v>
      </c>
      <c r="C130" s="2" t="s">
        <v>501</v>
      </c>
      <c r="D130" s="2" t="s">
        <v>113</v>
      </c>
      <c r="E130" s="2" t="s">
        <v>61</v>
      </c>
      <c r="F130" s="2" t="s">
        <v>71</v>
      </c>
      <c r="G130" s="2" t="s">
        <v>502</v>
      </c>
      <c r="H130" s="2">
        <v>1</v>
      </c>
      <c r="I130" s="2">
        <v>227.44</v>
      </c>
      <c r="J130" s="2">
        <v>20</v>
      </c>
      <c r="K130" s="2">
        <v>227.44</v>
      </c>
      <c r="L130" s="2">
        <v>23.54</v>
      </c>
      <c r="M130" s="2" t="s">
        <v>63</v>
      </c>
      <c r="N130" s="2" t="s">
        <v>44</v>
      </c>
      <c r="O130" s="2" t="s">
        <v>138</v>
      </c>
      <c r="P130" s="2" t="s">
        <v>373</v>
      </c>
    </row>
    <row r="131" spans="1:16" x14ac:dyDescent="0.35">
      <c r="A131" s="2" t="s">
        <v>503</v>
      </c>
      <c r="B131" s="10" t="s">
        <v>489</v>
      </c>
      <c r="C131" s="2" t="s">
        <v>504</v>
      </c>
      <c r="D131" s="2" t="s">
        <v>50</v>
      </c>
      <c r="E131" s="2" t="s">
        <v>41</v>
      </c>
      <c r="F131" s="2" t="s">
        <v>21</v>
      </c>
      <c r="G131" s="2" t="s">
        <v>211</v>
      </c>
      <c r="H131" s="2"/>
      <c r="I131" s="2">
        <v>214.07</v>
      </c>
      <c r="J131" s="2">
        <v>0</v>
      </c>
      <c r="K131" s="2">
        <v>1498.49</v>
      </c>
      <c r="L131" s="2">
        <v>0</v>
      </c>
      <c r="M131" s="2" t="s">
        <v>73</v>
      </c>
      <c r="N131" s="2" t="s">
        <v>152</v>
      </c>
      <c r="O131" s="2" t="s">
        <v>132</v>
      </c>
      <c r="P131" s="2" t="s">
        <v>313</v>
      </c>
    </row>
    <row r="132" spans="1:16" x14ac:dyDescent="0.35">
      <c r="A132" s="2" t="s">
        <v>505</v>
      </c>
      <c r="B132" s="10" t="s">
        <v>506</v>
      </c>
      <c r="C132" s="2" t="s">
        <v>507</v>
      </c>
      <c r="D132" s="2" t="s">
        <v>60</v>
      </c>
      <c r="E132" s="2" t="s">
        <v>61</v>
      </c>
      <c r="F132" s="2" t="s">
        <v>42</v>
      </c>
      <c r="G132" s="2" t="s">
        <v>241</v>
      </c>
      <c r="H132" s="2">
        <v>2</v>
      </c>
      <c r="I132" s="2">
        <v>25.1</v>
      </c>
      <c r="J132" s="2">
        <v>5</v>
      </c>
      <c r="K132" s="2">
        <v>50.2</v>
      </c>
      <c r="L132" s="2">
        <v>8.1999999999999993</v>
      </c>
      <c r="M132" s="2" t="s">
        <v>63</v>
      </c>
      <c r="N132" s="2" t="s">
        <v>152</v>
      </c>
      <c r="O132" s="2" t="s">
        <v>172</v>
      </c>
      <c r="P132" s="2" t="s">
        <v>207</v>
      </c>
    </row>
    <row r="133" spans="1:16" x14ac:dyDescent="0.35">
      <c r="A133" s="2" t="s">
        <v>508</v>
      </c>
      <c r="B133" s="10" t="s">
        <v>509</v>
      </c>
      <c r="C133" s="2" t="s">
        <v>510</v>
      </c>
      <c r="D133" s="2" t="s">
        <v>171</v>
      </c>
      <c r="E133" s="2" t="s">
        <v>126</v>
      </c>
      <c r="F133" s="2" t="s">
        <v>42</v>
      </c>
      <c r="G133" s="2" t="s">
        <v>308</v>
      </c>
      <c r="H133" s="2">
        <v>4</v>
      </c>
      <c r="I133" s="2">
        <v>209.53</v>
      </c>
      <c r="J133" s="2">
        <v>0</v>
      </c>
      <c r="K133" s="2">
        <v>838.12</v>
      </c>
      <c r="L133" s="2">
        <v>0</v>
      </c>
      <c r="M133" s="2" t="s">
        <v>73</v>
      </c>
      <c r="N133" s="2" t="s">
        <v>24</v>
      </c>
      <c r="O133" s="2" t="s">
        <v>85</v>
      </c>
      <c r="P133" s="2" t="s">
        <v>46</v>
      </c>
    </row>
    <row r="134" spans="1:16" x14ac:dyDescent="0.35">
      <c r="A134" s="2" t="s">
        <v>511</v>
      </c>
      <c r="B134" s="10" t="s">
        <v>512</v>
      </c>
      <c r="C134" s="2" t="s">
        <v>513</v>
      </c>
      <c r="D134" s="2" t="s">
        <v>40</v>
      </c>
      <c r="E134" s="2" t="s">
        <v>51</v>
      </c>
      <c r="F134" s="2" t="s">
        <v>32</v>
      </c>
      <c r="G134" s="2" t="s">
        <v>514</v>
      </c>
      <c r="H134" s="2">
        <v>7</v>
      </c>
      <c r="I134" s="2">
        <v>241.27</v>
      </c>
      <c r="J134" s="2">
        <v>0</v>
      </c>
      <c r="K134" s="2">
        <v>1688.89</v>
      </c>
      <c r="L134" s="2">
        <v>0</v>
      </c>
      <c r="M134" s="2" t="s">
        <v>23</v>
      </c>
      <c r="N134" s="2" t="s">
        <v>35</v>
      </c>
      <c r="O134" s="2" t="s">
        <v>132</v>
      </c>
      <c r="P134" s="2" t="s">
        <v>65</v>
      </c>
    </row>
    <row r="135" spans="1:16" x14ac:dyDescent="0.35">
      <c r="A135" s="2" t="s">
        <v>515</v>
      </c>
      <c r="B135" s="10" t="s">
        <v>516</v>
      </c>
      <c r="C135" s="2" t="s">
        <v>517</v>
      </c>
      <c r="D135" s="2" t="s">
        <v>60</v>
      </c>
      <c r="E135" s="2" t="s">
        <v>41</v>
      </c>
      <c r="F135" s="2" t="s">
        <v>120</v>
      </c>
      <c r="G135" s="2" t="s">
        <v>121</v>
      </c>
      <c r="H135" s="2"/>
      <c r="I135" s="2">
        <v>38.6</v>
      </c>
      <c r="J135" s="2">
        <v>0</v>
      </c>
      <c r="K135" s="2">
        <v>193</v>
      </c>
      <c r="L135" s="2">
        <v>16.45</v>
      </c>
      <c r="M135" s="2" t="s">
        <v>34</v>
      </c>
      <c r="N135" s="2" t="s">
        <v>35</v>
      </c>
      <c r="O135" s="2" t="s">
        <v>172</v>
      </c>
      <c r="P135" s="2" t="s">
        <v>65</v>
      </c>
    </row>
    <row r="136" spans="1:16" x14ac:dyDescent="0.35">
      <c r="A136" s="2" t="s">
        <v>518</v>
      </c>
      <c r="B136" s="10" t="s">
        <v>519</v>
      </c>
      <c r="C136" s="2" t="s">
        <v>520</v>
      </c>
      <c r="D136" s="2" t="s">
        <v>107</v>
      </c>
      <c r="E136" s="2" t="s">
        <v>20</v>
      </c>
      <c r="F136" s="2" t="s">
        <v>120</v>
      </c>
      <c r="G136" s="2" t="s">
        <v>121</v>
      </c>
      <c r="H136" s="2">
        <v>4</v>
      </c>
      <c r="I136" s="2">
        <v>122.45</v>
      </c>
      <c r="J136" s="2">
        <v>15</v>
      </c>
      <c r="K136" s="2">
        <v>489.8</v>
      </c>
      <c r="L136" s="2">
        <v>23.05</v>
      </c>
      <c r="M136" s="2" t="s">
        <v>34</v>
      </c>
      <c r="N136" s="2" t="s">
        <v>98</v>
      </c>
      <c r="O136" s="2" t="s">
        <v>25</v>
      </c>
      <c r="P136" s="2" t="s">
        <v>56</v>
      </c>
    </row>
    <row r="137" spans="1:16" x14ac:dyDescent="0.35">
      <c r="A137" s="2" t="s">
        <v>521</v>
      </c>
      <c r="B137" s="10" t="s">
        <v>398</v>
      </c>
      <c r="C137" s="2" t="s">
        <v>522</v>
      </c>
      <c r="D137" s="2" t="s">
        <v>107</v>
      </c>
      <c r="E137" s="2" t="s">
        <v>119</v>
      </c>
      <c r="F137" s="2" t="s">
        <v>21</v>
      </c>
      <c r="G137" s="2" t="s">
        <v>181</v>
      </c>
      <c r="H137" s="2">
        <v>6</v>
      </c>
      <c r="I137" s="2">
        <v>140.78</v>
      </c>
      <c r="J137" s="2">
        <v>10</v>
      </c>
      <c r="K137" s="2">
        <v>844.68</v>
      </c>
      <c r="L137" s="2">
        <v>0</v>
      </c>
      <c r="M137" s="2" t="s">
        <v>23</v>
      </c>
      <c r="N137" s="2" t="s">
        <v>115</v>
      </c>
      <c r="O137" s="2" t="s">
        <v>138</v>
      </c>
      <c r="P137" s="2" t="s">
        <v>46</v>
      </c>
    </row>
    <row r="138" spans="1:16" x14ac:dyDescent="0.35">
      <c r="A138" s="2" t="s">
        <v>523</v>
      </c>
      <c r="B138" s="10" t="s">
        <v>524</v>
      </c>
      <c r="C138" s="2" t="s">
        <v>525</v>
      </c>
      <c r="D138" s="2" t="s">
        <v>201</v>
      </c>
      <c r="E138" s="2" t="s">
        <v>31</v>
      </c>
      <c r="F138" s="2" t="s">
        <v>71</v>
      </c>
      <c r="G138" s="2" t="s">
        <v>262</v>
      </c>
      <c r="H138" s="2">
        <v>7</v>
      </c>
      <c r="I138" s="2">
        <v>156.83000000000001</v>
      </c>
      <c r="J138" s="2">
        <v>0</v>
      </c>
      <c r="K138" s="2">
        <v>1097.81</v>
      </c>
      <c r="L138" s="2">
        <v>5.63</v>
      </c>
      <c r="M138" s="2" t="s">
        <v>63</v>
      </c>
      <c r="N138" s="2" t="s">
        <v>35</v>
      </c>
      <c r="O138" s="2" t="s">
        <v>25</v>
      </c>
      <c r="P138" s="2" t="s">
        <v>46</v>
      </c>
    </row>
    <row r="139" spans="1:16" x14ac:dyDescent="0.35">
      <c r="A139" s="2" t="s">
        <v>526</v>
      </c>
      <c r="B139" s="10" t="s">
        <v>401</v>
      </c>
      <c r="C139" s="2" t="s">
        <v>527</v>
      </c>
      <c r="D139" s="2" t="s">
        <v>89</v>
      </c>
      <c r="E139" s="2" t="s">
        <v>136</v>
      </c>
      <c r="F139" s="2" t="s">
        <v>21</v>
      </c>
      <c r="G139" s="2" t="s">
        <v>22</v>
      </c>
      <c r="H139" s="2">
        <v>6</v>
      </c>
      <c r="I139" s="2">
        <v>234</v>
      </c>
      <c r="J139" s="2">
        <v>0</v>
      </c>
      <c r="K139" s="2">
        <v>1404</v>
      </c>
      <c r="L139" s="2">
        <v>24.96</v>
      </c>
      <c r="M139" s="2" t="s">
        <v>128</v>
      </c>
      <c r="N139" s="2" t="s">
        <v>54</v>
      </c>
      <c r="O139" s="2" t="s">
        <v>132</v>
      </c>
      <c r="P139" s="2" t="s">
        <v>65</v>
      </c>
    </row>
    <row r="140" spans="1:16" x14ac:dyDescent="0.35">
      <c r="A140" s="2" t="s">
        <v>528</v>
      </c>
      <c r="B140" s="10" t="s">
        <v>529</v>
      </c>
      <c r="C140" s="2" t="s">
        <v>530</v>
      </c>
      <c r="D140" s="2" t="s">
        <v>156</v>
      </c>
      <c r="E140" s="2" t="s">
        <v>166</v>
      </c>
      <c r="F140" s="2" t="s">
        <v>21</v>
      </c>
      <c r="G140" s="2" t="s">
        <v>531</v>
      </c>
      <c r="H140" s="2">
        <v>6</v>
      </c>
      <c r="I140" s="2">
        <v>151.26</v>
      </c>
      <c r="J140" s="2">
        <v>10</v>
      </c>
      <c r="K140" s="2">
        <v>907.56</v>
      </c>
      <c r="L140" s="2">
        <v>5.08</v>
      </c>
      <c r="M140" s="2" t="s">
        <v>128</v>
      </c>
      <c r="N140" s="2" t="s">
        <v>98</v>
      </c>
      <c r="O140" s="2" t="s">
        <v>55</v>
      </c>
      <c r="P140" s="2" t="s">
        <v>373</v>
      </c>
    </row>
    <row r="141" spans="1:16" x14ac:dyDescent="0.35">
      <c r="A141" s="2" t="s">
        <v>532</v>
      </c>
      <c r="B141" s="10" t="s">
        <v>533</v>
      </c>
      <c r="C141" s="2" t="s">
        <v>534</v>
      </c>
      <c r="D141" s="2" t="s">
        <v>89</v>
      </c>
      <c r="E141" s="2" t="s">
        <v>136</v>
      </c>
      <c r="F141" s="2" t="s">
        <v>42</v>
      </c>
      <c r="G141" s="2" t="s">
        <v>294</v>
      </c>
      <c r="H141" s="2">
        <v>4</v>
      </c>
      <c r="I141" s="2">
        <v>45.75</v>
      </c>
      <c r="J141" s="2">
        <v>15</v>
      </c>
      <c r="K141" s="2">
        <v>183</v>
      </c>
      <c r="L141" s="2">
        <v>24.89</v>
      </c>
      <c r="M141" s="2" t="s">
        <v>128</v>
      </c>
      <c r="N141" s="2" t="s">
        <v>44</v>
      </c>
      <c r="O141" s="2" t="s">
        <v>172</v>
      </c>
      <c r="P141" s="2" t="s">
        <v>46</v>
      </c>
    </row>
    <row r="142" spans="1:16" x14ac:dyDescent="0.35">
      <c r="A142" s="2" t="s">
        <v>535</v>
      </c>
      <c r="B142" s="10" t="s">
        <v>429</v>
      </c>
      <c r="C142" s="2" t="s">
        <v>536</v>
      </c>
      <c r="D142" s="2" t="s">
        <v>125</v>
      </c>
      <c r="E142" s="2" t="s">
        <v>126</v>
      </c>
      <c r="F142" s="2" t="s">
        <v>120</v>
      </c>
      <c r="G142" s="2" t="s">
        <v>252</v>
      </c>
      <c r="H142" s="2">
        <v>3</v>
      </c>
      <c r="I142" s="2">
        <v>51.93</v>
      </c>
      <c r="J142" s="2">
        <v>15</v>
      </c>
      <c r="K142" s="2">
        <v>155.79</v>
      </c>
      <c r="L142" s="2">
        <v>8.31</v>
      </c>
      <c r="M142" s="2" t="s">
        <v>128</v>
      </c>
      <c r="N142" s="2" t="s">
        <v>103</v>
      </c>
      <c r="O142" s="2" t="s">
        <v>64</v>
      </c>
      <c r="P142" s="2" t="s">
        <v>158</v>
      </c>
    </row>
    <row r="143" spans="1:16" x14ac:dyDescent="0.35">
      <c r="A143" s="2" t="s">
        <v>537</v>
      </c>
      <c r="B143" s="10" t="s">
        <v>538</v>
      </c>
      <c r="C143" s="2" t="s">
        <v>539</v>
      </c>
      <c r="D143" s="2" t="s">
        <v>409</v>
      </c>
      <c r="E143" s="2" t="s">
        <v>136</v>
      </c>
      <c r="F143" s="2" t="s">
        <v>32</v>
      </c>
      <c r="G143" s="2" t="s">
        <v>277</v>
      </c>
      <c r="H143" s="2">
        <v>3</v>
      </c>
      <c r="I143" s="2">
        <v>153.53</v>
      </c>
      <c r="J143" s="2">
        <v>10</v>
      </c>
      <c r="K143" s="2">
        <v>460.59</v>
      </c>
      <c r="L143" s="2">
        <v>0</v>
      </c>
      <c r="M143" s="2" t="s">
        <v>23</v>
      </c>
      <c r="N143" s="2" t="s">
        <v>24</v>
      </c>
      <c r="O143" s="2" t="s">
        <v>172</v>
      </c>
      <c r="P143" s="2" t="s">
        <v>65</v>
      </c>
    </row>
    <row r="144" spans="1:16" x14ac:dyDescent="0.35">
      <c r="A144" s="2" t="s">
        <v>540</v>
      </c>
      <c r="B144" s="10" t="s">
        <v>541</v>
      </c>
      <c r="C144" s="2" t="s">
        <v>542</v>
      </c>
      <c r="D144" s="2" t="s">
        <v>96</v>
      </c>
      <c r="E144" s="2" t="s">
        <v>82</v>
      </c>
      <c r="F144" s="2" t="s">
        <v>42</v>
      </c>
      <c r="G144" s="2" t="s">
        <v>62</v>
      </c>
      <c r="H144" s="2">
        <v>4</v>
      </c>
      <c r="I144" s="2">
        <v>98.84</v>
      </c>
      <c r="J144" s="2"/>
      <c r="K144" s="2">
        <v>395.36</v>
      </c>
      <c r="L144" s="2">
        <v>0</v>
      </c>
      <c r="M144" s="2" t="s">
        <v>73</v>
      </c>
      <c r="N144" s="2" t="s">
        <v>98</v>
      </c>
      <c r="O144" s="2" t="s">
        <v>55</v>
      </c>
      <c r="P144" s="2" t="s">
        <v>46</v>
      </c>
    </row>
    <row r="145" spans="1:16" x14ac:dyDescent="0.35">
      <c r="A145" s="2" t="s">
        <v>543</v>
      </c>
      <c r="B145" s="10" t="s">
        <v>544</v>
      </c>
      <c r="C145" s="2" t="s">
        <v>545</v>
      </c>
      <c r="D145" s="2" t="s">
        <v>60</v>
      </c>
      <c r="E145" s="2" t="s">
        <v>41</v>
      </c>
      <c r="F145" s="2" t="s">
        <v>120</v>
      </c>
      <c r="G145" s="2" t="s">
        <v>450</v>
      </c>
      <c r="H145" s="2">
        <v>8</v>
      </c>
      <c r="I145" s="2">
        <v>112.91</v>
      </c>
      <c r="J145" s="2">
        <v>0</v>
      </c>
      <c r="K145" s="2">
        <v>903.28</v>
      </c>
      <c r="L145" s="2">
        <v>23.83</v>
      </c>
      <c r="M145" s="2" t="s">
        <v>63</v>
      </c>
      <c r="N145" s="2" t="s">
        <v>84</v>
      </c>
      <c r="O145" s="2" t="s">
        <v>64</v>
      </c>
      <c r="P145" s="2" t="s">
        <v>26</v>
      </c>
    </row>
    <row r="146" spans="1:16" x14ac:dyDescent="0.35">
      <c r="A146" s="2" t="s">
        <v>546</v>
      </c>
      <c r="B146" s="10" t="s">
        <v>547</v>
      </c>
      <c r="C146" s="2" t="s">
        <v>548</v>
      </c>
      <c r="D146" s="2" t="s">
        <v>19</v>
      </c>
      <c r="E146" s="2" t="s">
        <v>108</v>
      </c>
      <c r="F146" s="2" t="s">
        <v>42</v>
      </c>
      <c r="G146" s="2" t="s">
        <v>294</v>
      </c>
      <c r="H146" s="2">
        <v>8</v>
      </c>
      <c r="I146" s="2">
        <v>236.03</v>
      </c>
      <c r="J146" s="2">
        <v>15</v>
      </c>
      <c r="K146" s="2">
        <v>1888.24</v>
      </c>
      <c r="L146" s="2">
        <v>10.67</v>
      </c>
      <c r="M146" s="2" t="s">
        <v>128</v>
      </c>
      <c r="N146" s="2" t="s">
        <v>84</v>
      </c>
      <c r="O146" s="2" t="s">
        <v>36</v>
      </c>
      <c r="P146" s="2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06CD-98AB-4B4F-882C-DBB89FCACC7B}">
  <dimension ref="A1:T141"/>
  <sheetViews>
    <sheetView workbookViewId="0">
      <pane xSplit="4" ySplit="1" topLeftCell="E125" activePane="bottomRight" state="frozen"/>
      <selection pane="topRight" activeCell="D1" sqref="D1"/>
      <selection pane="bottomLeft" activeCell="A2" sqref="A2"/>
      <selection pane="bottomRight" activeCell="E1" sqref="E1"/>
    </sheetView>
  </sheetViews>
  <sheetFormatPr defaultRowHeight="14.5" x14ac:dyDescent="0.35"/>
  <cols>
    <col min="1" max="1" width="12.7265625" customWidth="1"/>
    <col min="2" max="3" width="13.26953125" style="3" customWidth="1"/>
    <col min="4" max="4" width="23.7265625" customWidth="1"/>
    <col min="5" max="5" width="11.54296875" customWidth="1"/>
    <col min="6" max="6" width="17.08984375" customWidth="1"/>
    <col min="7" max="7" width="28.1796875" customWidth="1"/>
    <col min="8" max="8" width="23" customWidth="1"/>
    <col min="9" max="9" width="8.54296875" bestFit="1" customWidth="1"/>
    <col min="10" max="10" width="9.81640625" bestFit="1" customWidth="1"/>
    <col min="11" max="11" width="12.54296875" bestFit="1" customWidth="1"/>
    <col min="12" max="12" width="11.1796875" bestFit="1" customWidth="1"/>
    <col min="13" max="13" width="14" bestFit="1" customWidth="1"/>
    <col min="14" max="14" width="15.453125" customWidth="1"/>
    <col min="15" max="15" width="18.90625" customWidth="1"/>
    <col min="16" max="16" width="18.81640625" customWidth="1"/>
    <col min="17" max="17" width="16.36328125" customWidth="1"/>
  </cols>
  <sheetData>
    <row r="1" spans="1:17" ht="15.5" x14ac:dyDescent="0.35">
      <c r="A1" s="4" t="s">
        <v>0</v>
      </c>
      <c r="B1" s="5" t="s">
        <v>1</v>
      </c>
      <c r="C1" s="5" t="s">
        <v>615</v>
      </c>
      <c r="D1" s="4" t="s">
        <v>577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ht="15.5" x14ac:dyDescent="0.35">
      <c r="A2" s="6" t="s">
        <v>198</v>
      </c>
      <c r="B2" s="7">
        <v>46150</v>
      </c>
      <c r="C2" s="7" t="s">
        <v>616</v>
      </c>
      <c r="D2" s="6" t="s">
        <v>614</v>
      </c>
      <c r="E2" s="6" t="s">
        <v>30</v>
      </c>
      <c r="F2" s="6" t="s">
        <v>202</v>
      </c>
      <c r="G2" s="6" t="s">
        <v>120</v>
      </c>
      <c r="H2" s="6" t="s">
        <v>252</v>
      </c>
      <c r="I2" s="6">
        <v>7</v>
      </c>
      <c r="J2" s="6">
        <v>12.79</v>
      </c>
      <c r="K2" s="6">
        <v>10</v>
      </c>
      <c r="L2" s="6">
        <v>89.53</v>
      </c>
      <c r="M2" s="6">
        <v>21.99</v>
      </c>
      <c r="N2" s="6" t="s">
        <v>63</v>
      </c>
      <c r="O2" s="6" t="s">
        <v>35</v>
      </c>
      <c r="P2" s="6" t="s">
        <v>45</v>
      </c>
      <c r="Q2" s="6" t="s">
        <v>26</v>
      </c>
    </row>
    <row r="3" spans="1:17" ht="15.5" x14ac:dyDescent="0.35">
      <c r="A3" s="6" t="s">
        <v>266</v>
      </c>
      <c r="B3" s="7">
        <v>45953</v>
      </c>
      <c r="C3" s="7" t="s">
        <v>617</v>
      </c>
      <c r="D3" s="6" t="s">
        <v>268</v>
      </c>
      <c r="E3" s="6" t="s">
        <v>69</v>
      </c>
      <c r="F3" s="6" t="s">
        <v>82</v>
      </c>
      <c r="G3" s="6" t="s">
        <v>71</v>
      </c>
      <c r="H3" s="6" t="s">
        <v>269</v>
      </c>
      <c r="I3" s="6">
        <v>7</v>
      </c>
      <c r="J3" s="6">
        <v>28.7</v>
      </c>
      <c r="K3" s="6">
        <v>20</v>
      </c>
      <c r="L3" s="6">
        <v>200.9</v>
      </c>
      <c r="M3" s="6">
        <v>0</v>
      </c>
      <c r="N3" s="6" t="s">
        <v>53</v>
      </c>
      <c r="O3" s="6" t="s">
        <v>98</v>
      </c>
      <c r="P3" s="6" t="s">
        <v>45</v>
      </c>
      <c r="Q3" s="6" t="s">
        <v>26</v>
      </c>
    </row>
    <row r="4" spans="1:17" ht="15.5" x14ac:dyDescent="0.35">
      <c r="A4" s="6" t="s">
        <v>331</v>
      </c>
      <c r="B4" s="7">
        <v>46038</v>
      </c>
      <c r="C4" s="7" t="s">
        <v>618</v>
      </c>
      <c r="D4" s="6" t="s">
        <v>549</v>
      </c>
      <c r="E4" s="6" t="s">
        <v>69</v>
      </c>
      <c r="F4" s="6" t="s">
        <v>180</v>
      </c>
      <c r="G4" s="6" t="s">
        <v>71</v>
      </c>
      <c r="H4" s="6" t="s">
        <v>262</v>
      </c>
      <c r="I4" s="6">
        <v>8</v>
      </c>
      <c r="J4" s="6">
        <v>160.74</v>
      </c>
      <c r="K4" s="6">
        <v>0</v>
      </c>
      <c r="L4" s="6">
        <v>1285.92</v>
      </c>
      <c r="M4" s="6">
        <v>0</v>
      </c>
      <c r="N4" s="6" t="s">
        <v>53</v>
      </c>
      <c r="O4" s="6" t="s">
        <v>115</v>
      </c>
      <c r="P4" s="6" t="s">
        <v>132</v>
      </c>
      <c r="Q4" s="6" t="s">
        <v>92</v>
      </c>
    </row>
    <row r="5" spans="1:17" ht="15.5" x14ac:dyDescent="0.35">
      <c r="A5" s="6" t="s">
        <v>378</v>
      </c>
      <c r="B5" s="7">
        <v>46092</v>
      </c>
      <c r="C5" s="7" t="s">
        <v>619</v>
      </c>
      <c r="D5" s="6" t="s">
        <v>380</v>
      </c>
      <c r="E5" s="6" t="s">
        <v>69</v>
      </c>
      <c r="F5" s="6" t="s">
        <v>70</v>
      </c>
      <c r="G5" s="6" t="s">
        <v>71</v>
      </c>
      <c r="H5" s="6" t="s">
        <v>570</v>
      </c>
      <c r="I5" s="6">
        <v>7</v>
      </c>
      <c r="J5" s="6">
        <v>70.599999999999994</v>
      </c>
      <c r="K5" s="6">
        <v>0</v>
      </c>
      <c r="L5" s="6">
        <v>494.2</v>
      </c>
      <c r="M5" s="6">
        <v>0</v>
      </c>
      <c r="N5" s="6" t="s">
        <v>53</v>
      </c>
      <c r="O5" s="6" t="s">
        <v>84</v>
      </c>
      <c r="P5" s="6" t="s">
        <v>172</v>
      </c>
      <c r="Q5" s="6" t="s">
        <v>26</v>
      </c>
    </row>
    <row r="6" spans="1:17" ht="15.5" x14ac:dyDescent="0.35">
      <c r="A6" s="6" t="s">
        <v>479</v>
      </c>
      <c r="B6" s="7">
        <v>45987</v>
      </c>
      <c r="C6" s="7" t="s">
        <v>620</v>
      </c>
      <c r="D6" s="6" t="s">
        <v>481</v>
      </c>
      <c r="E6" s="6" t="s">
        <v>113</v>
      </c>
      <c r="F6" s="6" t="s">
        <v>51</v>
      </c>
      <c r="G6" s="6" t="s">
        <v>32</v>
      </c>
      <c r="H6" s="6" t="s">
        <v>91</v>
      </c>
      <c r="I6" s="6">
        <v>3</v>
      </c>
      <c r="J6" s="6">
        <v>129.83000000000001</v>
      </c>
      <c r="K6" s="6">
        <v>5</v>
      </c>
      <c r="L6" s="6">
        <v>389.49</v>
      </c>
      <c r="M6" s="6">
        <v>0</v>
      </c>
      <c r="N6" s="6" t="s">
        <v>53</v>
      </c>
      <c r="O6" s="6" t="s">
        <v>98</v>
      </c>
      <c r="P6" s="6" t="s">
        <v>172</v>
      </c>
      <c r="Q6" s="6" t="s">
        <v>92</v>
      </c>
    </row>
    <row r="7" spans="1:17" ht="15.5" x14ac:dyDescent="0.35">
      <c r="A7" s="6" t="s">
        <v>215</v>
      </c>
      <c r="B7" s="7">
        <v>46065</v>
      </c>
      <c r="C7" s="7" t="s">
        <v>621</v>
      </c>
      <c r="D7" s="6" t="s">
        <v>217</v>
      </c>
      <c r="E7" s="6" t="s">
        <v>89</v>
      </c>
      <c r="F7" s="6" t="s">
        <v>136</v>
      </c>
      <c r="G7" s="6" t="s">
        <v>32</v>
      </c>
      <c r="H7" s="6" t="s">
        <v>33</v>
      </c>
      <c r="I7" s="6">
        <v>3</v>
      </c>
      <c r="J7" s="6">
        <v>116.16</v>
      </c>
      <c r="K7" s="6">
        <v>10</v>
      </c>
      <c r="L7" s="6">
        <v>348.48</v>
      </c>
      <c r="M7" s="6">
        <v>0</v>
      </c>
      <c r="N7" s="6" t="s">
        <v>53</v>
      </c>
      <c r="O7" s="6" t="s">
        <v>78</v>
      </c>
      <c r="P7" s="6" t="s">
        <v>45</v>
      </c>
      <c r="Q7" s="6" t="s">
        <v>92</v>
      </c>
    </row>
    <row r="8" spans="1:17" ht="15.5" x14ac:dyDescent="0.35">
      <c r="A8" s="6" t="s">
        <v>173</v>
      </c>
      <c r="B8" s="7">
        <v>46088</v>
      </c>
      <c r="C8" s="7" t="s">
        <v>619</v>
      </c>
      <c r="D8" s="6" t="s">
        <v>175</v>
      </c>
      <c r="E8" s="6" t="s">
        <v>19</v>
      </c>
      <c r="F8" s="6" t="s">
        <v>108</v>
      </c>
      <c r="G8" s="6" t="s">
        <v>42</v>
      </c>
      <c r="H8" s="6" t="s">
        <v>571</v>
      </c>
      <c r="I8" s="6">
        <v>2</v>
      </c>
      <c r="J8" s="6">
        <v>232.63</v>
      </c>
      <c r="K8" s="6">
        <v>20</v>
      </c>
      <c r="L8" s="6">
        <v>465.26</v>
      </c>
      <c r="M8" s="6">
        <v>0</v>
      </c>
      <c r="N8" s="6" t="s">
        <v>53</v>
      </c>
      <c r="O8" s="6" t="s">
        <v>35</v>
      </c>
      <c r="P8" s="6" t="s">
        <v>172</v>
      </c>
      <c r="Q8" s="6" t="s">
        <v>26</v>
      </c>
    </row>
    <row r="9" spans="1:17" ht="15.5" x14ac:dyDescent="0.35">
      <c r="A9" s="6" t="s">
        <v>511</v>
      </c>
      <c r="B9" s="7">
        <v>46033</v>
      </c>
      <c r="C9" s="7" t="s">
        <v>618</v>
      </c>
      <c r="D9" s="6" t="s">
        <v>513</v>
      </c>
      <c r="E9" s="6" t="s">
        <v>113</v>
      </c>
      <c r="F9" s="6" t="s">
        <v>51</v>
      </c>
      <c r="G9" s="6" t="s">
        <v>32</v>
      </c>
      <c r="H9" s="6" t="s">
        <v>514</v>
      </c>
      <c r="I9" s="6">
        <v>7</v>
      </c>
      <c r="J9" s="6">
        <v>241.27</v>
      </c>
      <c r="K9" s="6">
        <v>0</v>
      </c>
      <c r="L9" s="6">
        <v>1688.89</v>
      </c>
      <c r="M9" s="6">
        <v>0</v>
      </c>
      <c r="N9" s="6" t="s">
        <v>53</v>
      </c>
      <c r="O9" s="6" t="s">
        <v>35</v>
      </c>
      <c r="P9" s="6" t="s">
        <v>132</v>
      </c>
      <c r="Q9" s="6" t="s">
        <v>26</v>
      </c>
    </row>
    <row r="10" spans="1:17" ht="15.5" x14ac:dyDescent="0.35">
      <c r="A10" s="6" t="s">
        <v>116</v>
      </c>
      <c r="B10" s="7">
        <v>45967</v>
      </c>
      <c r="C10" s="7" t="s">
        <v>620</v>
      </c>
      <c r="D10" s="6" t="s">
        <v>550</v>
      </c>
      <c r="E10" s="6" t="s">
        <v>19</v>
      </c>
      <c r="F10" s="6" t="s">
        <v>119</v>
      </c>
      <c r="G10" s="6" t="s">
        <v>120</v>
      </c>
      <c r="H10" s="6" t="s">
        <v>121</v>
      </c>
      <c r="I10" s="6">
        <v>1</v>
      </c>
      <c r="J10" s="6">
        <v>61.09</v>
      </c>
      <c r="K10" s="6">
        <v>10</v>
      </c>
      <c r="L10" s="6">
        <v>61.09</v>
      </c>
      <c r="M10" s="6">
        <v>20.05</v>
      </c>
      <c r="N10" s="6" t="s">
        <v>63</v>
      </c>
      <c r="O10" s="6" t="s">
        <v>98</v>
      </c>
      <c r="P10" s="6" t="s">
        <v>45</v>
      </c>
      <c r="Q10" s="6" t="s">
        <v>26</v>
      </c>
    </row>
    <row r="11" spans="1:17" ht="15.5" x14ac:dyDescent="0.35">
      <c r="A11" s="6" t="s">
        <v>245</v>
      </c>
      <c r="B11" s="7">
        <v>46137</v>
      </c>
      <c r="C11" s="7" t="s">
        <v>622</v>
      </c>
      <c r="D11" s="6" t="s">
        <v>247</v>
      </c>
      <c r="E11" s="6" t="s">
        <v>69</v>
      </c>
      <c r="F11" s="6" t="s">
        <v>180</v>
      </c>
      <c r="G11" s="6" t="s">
        <v>21</v>
      </c>
      <c r="H11" s="6" t="s">
        <v>248</v>
      </c>
      <c r="I11" s="6">
        <v>1</v>
      </c>
      <c r="J11" s="6">
        <v>169.97</v>
      </c>
      <c r="K11" s="6">
        <v>0</v>
      </c>
      <c r="L11" s="6">
        <v>169.97</v>
      </c>
      <c r="M11" s="6">
        <v>0</v>
      </c>
      <c r="N11" s="6" t="s">
        <v>53</v>
      </c>
      <c r="O11" s="6" t="s">
        <v>84</v>
      </c>
      <c r="P11" s="6" t="s">
        <v>138</v>
      </c>
      <c r="Q11" s="6" t="s">
        <v>26</v>
      </c>
    </row>
    <row r="12" spans="1:17" ht="15.5" x14ac:dyDescent="0.35">
      <c r="A12" s="6" t="s">
        <v>532</v>
      </c>
      <c r="B12" s="7">
        <v>46136</v>
      </c>
      <c r="C12" s="7" t="s">
        <v>622</v>
      </c>
      <c r="D12" s="6" t="s">
        <v>534</v>
      </c>
      <c r="E12" s="6" t="s">
        <v>89</v>
      </c>
      <c r="F12" s="6" t="s">
        <v>136</v>
      </c>
      <c r="G12" s="6" t="s">
        <v>42</v>
      </c>
      <c r="H12" s="6" t="s">
        <v>572</v>
      </c>
      <c r="I12" s="6">
        <v>4</v>
      </c>
      <c r="J12" s="6">
        <v>45.75</v>
      </c>
      <c r="K12" s="6">
        <v>15</v>
      </c>
      <c r="L12" s="6">
        <v>183</v>
      </c>
      <c r="M12" s="6">
        <v>24.89</v>
      </c>
      <c r="N12" s="6" t="s">
        <v>63</v>
      </c>
      <c r="O12" s="6" t="s">
        <v>44</v>
      </c>
      <c r="P12" s="6" t="s">
        <v>172</v>
      </c>
      <c r="Q12" s="6" t="s">
        <v>26</v>
      </c>
    </row>
    <row r="13" spans="1:17" ht="15.5" x14ac:dyDescent="0.35">
      <c r="A13" s="6" t="s">
        <v>448</v>
      </c>
      <c r="B13" s="7">
        <v>46188</v>
      </c>
      <c r="C13" s="7" t="s">
        <v>623</v>
      </c>
      <c r="D13" s="6" t="s">
        <v>449</v>
      </c>
      <c r="E13" s="6" t="s">
        <v>69</v>
      </c>
      <c r="F13" s="6" t="s">
        <v>180</v>
      </c>
      <c r="G13" s="6" t="s">
        <v>120</v>
      </c>
      <c r="H13" s="6" t="s">
        <v>450</v>
      </c>
      <c r="I13" s="6">
        <v>1</v>
      </c>
      <c r="J13" s="6">
        <v>188.25</v>
      </c>
      <c r="K13" s="6">
        <v>0</v>
      </c>
      <c r="L13" s="6">
        <v>188.25</v>
      </c>
      <c r="M13" s="6">
        <v>7.41</v>
      </c>
      <c r="N13" s="6" t="s">
        <v>63</v>
      </c>
      <c r="O13" s="6" t="s">
        <v>98</v>
      </c>
      <c r="P13" s="6" t="s">
        <v>45</v>
      </c>
      <c r="Q13" s="6" t="s">
        <v>26</v>
      </c>
    </row>
    <row r="14" spans="1:17" ht="15.5" x14ac:dyDescent="0.35">
      <c r="A14" s="6" t="s">
        <v>526</v>
      </c>
      <c r="B14" s="7">
        <v>46053</v>
      </c>
      <c r="C14" s="7" t="s">
        <v>618</v>
      </c>
      <c r="D14" s="6" t="s">
        <v>527</v>
      </c>
      <c r="E14" s="6" t="s">
        <v>89</v>
      </c>
      <c r="F14" s="6" t="s">
        <v>136</v>
      </c>
      <c r="G14" s="6" t="s">
        <v>21</v>
      </c>
      <c r="H14" s="6" t="s">
        <v>22</v>
      </c>
      <c r="I14" s="6">
        <v>6</v>
      </c>
      <c r="J14" s="6">
        <v>234</v>
      </c>
      <c r="K14" s="6">
        <v>0</v>
      </c>
      <c r="L14" s="6">
        <v>1404</v>
      </c>
      <c r="M14" s="6">
        <v>24.96</v>
      </c>
      <c r="N14" s="6" t="s">
        <v>63</v>
      </c>
      <c r="O14" s="6" t="s">
        <v>54</v>
      </c>
      <c r="P14" s="6" t="s">
        <v>132</v>
      </c>
      <c r="Q14" s="6" t="s">
        <v>26</v>
      </c>
    </row>
    <row r="15" spans="1:17" ht="15.5" x14ac:dyDescent="0.35">
      <c r="A15" s="6" t="s">
        <v>122</v>
      </c>
      <c r="B15" s="7">
        <v>46265</v>
      </c>
      <c r="C15" s="7" t="s">
        <v>624</v>
      </c>
      <c r="D15" s="6" t="s">
        <v>124</v>
      </c>
      <c r="E15" s="6" t="s">
        <v>30</v>
      </c>
      <c r="F15" s="6" t="s">
        <v>126</v>
      </c>
      <c r="G15" s="6" t="s">
        <v>120</v>
      </c>
      <c r="H15" s="6" t="s">
        <v>127</v>
      </c>
      <c r="I15" s="6">
        <v>3</v>
      </c>
      <c r="J15" s="6">
        <v>112.36</v>
      </c>
      <c r="K15" s="6">
        <v>0</v>
      </c>
      <c r="L15" s="6">
        <v>337.08</v>
      </c>
      <c r="M15" s="6">
        <v>5.58</v>
      </c>
      <c r="N15" s="6" t="s">
        <v>63</v>
      </c>
      <c r="O15" s="6" t="s">
        <v>54</v>
      </c>
      <c r="P15" s="6" t="s">
        <v>45</v>
      </c>
      <c r="Q15" s="6" t="s">
        <v>26</v>
      </c>
    </row>
    <row r="16" spans="1:17" ht="15.5" x14ac:dyDescent="0.35">
      <c r="A16" s="6" t="s">
        <v>208</v>
      </c>
      <c r="B16" s="7">
        <v>45932</v>
      </c>
      <c r="C16" s="7" t="s">
        <v>617</v>
      </c>
      <c r="D16" s="6" t="s">
        <v>210</v>
      </c>
      <c r="E16" s="6" t="s">
        <v>69</v>
      </c>
      <c r="F16" s="6" t="s">
        <v>82</v>
      </c>
      <c r="G16" s="6" t="s">
        <v>21</v>
      </c>
      <c r="H16" s="6" t="s">
        <v>211</v>
      </c>
      <c r="I16" s="6">
        <v>1</v>
      </c>
      <c r="J16" s="6">
        <v>27.61</v>
      </c>
      <c r="K16" s="6">
        <v>1</v>
      </c>
      <c r="L16" s="6">
        <v>27.61</v>
      </c>
      <c r="M16" s="6">
        <v>0</v>
      </c>
      <c r="N16" s="6" t="s">
        <v>53</v>
      </c>
      <c r="O16" s="6" t="s">
        <v>44</v>
      </c>
      <c r="P16" s="6" t="s">
        <v>172</v>
      </c>
      <c r="Q16" s="6" t="s">
        <v>26</v>
      </c>
    </row>
    <row r="17" spans="1:20" ht="15.5" x14ac:dyDescent="0.35">
      <c r="A17" s="6" t="s">
        <v>295</v>
      </c>
      <c r="B17" s="7">
        <v>45951</v>
      </c>
      <c r="C17" s="7" t="s">
        <v>617</v>
      </c>
      <c r="D17" s="6" t="s">
        <v>297</v>
      </c>
      <c r="E17" s="6" t="s">
        <v>89</v>
      </c>
      <c r="F17" s="6" t="s">
        <v>136</v>
      </c>
      <c r="G17" s="6" t="s">
        <v>42</v>
      </c>
      <c r="H17" s="6" t="s">
        <v>185</v>
      </c>
      <c r="I17" s="6">
        <v>3</v>
      </c>
      <c r="J17" s="6">
        <v>15.25</v>
      </c>
      <c r="K17" s="6">
        <v>10</v>
      </c>
      <c r="L17" s="6">
        <v>45.75</v>
      </c>
      <c r="M17" s="6">
        <v>0</v>
      </c>
      <c r="N17" s="6" t="s">
        <v>53</v>
      </c>
      <c r="O17" s="6" t="s">
        <v>44</v>
      </c>
      <c r="P17" s="6" t="s">
        <v>55</v>
      </c>
      <c r="Q17" s="6" t="s">
        <v>26</v>
      </c>
    </row>
    <row r="18" spans="1:20" ht="15.5" x14ac:dyDescent="0.35">
      <c r="A18" s="6" t="s">
        <v>194</v>
      </c>
      <c r="B18" s="7">
        <v>46058</v>
      </c>
      <c r="C18" s="7" t="s">
        <v>621</v>
      </c>
      <c r="D18" s="6" t="s">
        <v>196</v>
      </c>
      <c r="E18" s="6" t="s">
        <v>30</v>
      </c>
      <c r="F18" s="6" t="s">
        <v>126</v>
      </c>
      <c r="G18" s="6" t="s">
        <v>120</v>
      </c>
      <c r="H18" s="6" t="s">
        <v>573</v>
      </c>
      <c r="I18" s="6">
        <v>6</v>
      </c>
      <c r="J18" s="6">
        <v>196.68</v>
      </c>
      <c r="K18" s="6">
        <v>0</v>
      </c>
      <c r="L18" s="6">
        <v>1180.08</v>
      </c>
      <c r="M18" s="6">
        <v>0</v>
      </c>
      <c r="N18" s="6" t="s">
        <v>53</v>
      </c>
      <c r="O18" s="6" t="s">
        <v>115</v>
      </c>
      <c r="P18" s="6" t="s">
        <v>132</v>
      </c>
      <c r="Q18" s="6" t="s">
        <v>26</v>
      </c>
    </row>
    <row r="19" spans="1:20" ht="15.5" x14ac:dyDescent="0.35">
      <c r="A19" s="6" t="s">
        <v>441</v>
      </c>
      <c r="B19" s="7">
        <v>46259</v>
      </c>
      <c r="C19" s="7" t="s">
        <v>624</v>
      </c>
      <c r="D19" s="6" t="s">
        <v>443</v>
      </c>
      <c r="E19" s="6" t="s">
        <v>30</v>
      </c>
      <c r="F19" s="6" t="s">
        <v>202</v>
      </c>
      <c r="G19" s="6" t="s">
        <v>120</v>
      </c>
      <c r="H19" s="6" t="s">
        <v>127</v>
      </c>
      <c r="I19" s="6">
        <v>5</v>
      </c>
      <c r="J19" s="6">
        <v>216.77</v>
      </c>
      <c r="K19" s="6">
        <v>1.0000000000000002</v>
      </c>
      <c r="L19" s="6">
        <v>1083.8499999999999</v>
      </c>
      <c r="M19" s="6">
        <v>15.72</v>
      </c>
      <c r="N19" s="6" t="s">
        <v>63</v>
      </c>
      <c r="O19" s="6" t="s">
        <v>98</v>
      </c>
      <c r="P19" s="6" t="s">
        <v>45</v>
      </c>
      <c r="Q19" s="6" t="s">
        <v>26</v>
      </c>
    </row>
    <row r="20" spans="1:20" ht="15.5" x14ac:dyDescent="0.35">
      <c r="A20" s="6" t="s">
        <v>16</v>
      </c>
      <c r="B20" s="7">
        <v>46206</v>
      </c>
      <c r="C20" s="7" t="s">
        <v>625</v>
      </c>
      <c r="D20" s="6" t="s">
        <v>18</v>
      </c>
      <c r="E20" s="6" t="s">
        <v>19</v>
      </c>
      <c r="F20" s="6" t="s">
        <v>20</v>
      </c>
      <c r="G20" s="6" t="s">
        <v>21</v>
      </c>
      <c r="H20" s="6" t="s">
        <v>22</v>
      </c>
      <c r="I20" s="6">
        <v>1</v>
      </c>
      <c r="J20" s="6">
        <v>178.65</v>
      </c>
      <c r="K20" s="6">
        <v>15</v>
      </c>
      <c r="L20" s="8">
        <v>151.85249999999999</v>
      </c>
      <c r="M20" s="6">
        <v>0</v>
      </c>
      <c r="N20" s="6" t="s">
        <v>53</v>
      </c>
      <c r="O20" s="6" t="s">
        <v>24</v>
      </c>
      <c r="P20" s="6" t="s">
        <v>172</v>
      </c>
      <c r="Q20" s="6" t="s">
        <v>26</v>
      </c>
    </row>
    <row r="21" spans="1:20" ht="15.5" x14ac:dyDescent="0.35">
      <c r="A21" s="6" t="s">
        <v>482</v>
      </c>
      <c r="B21" s="7">
        <v>46020</v>
      </c>
      <c r="C21" s="7" t="s">
        <v>626</v>
      </c>
      <c r="D21" s="6" t="s">
        <v>484</v>
      </c>
      <c r="E21" s="6" t="s">
        <v>113</v>
      </c>
      <c r="F21" s="6" t="s">
        <v>61</v>
      </c>
      <c r="G21" s="6" t="s">
        <v>21</v>
      </c>
      <c r="H21" s="6" t="s">
        <v>211</v>
      </c>
      <c r="I21" s="6">
        <v>4</v>
      </c>
      <c r="J21" s="6">
        <v>108.01</v>
      </c>
      <c r="K21" s="6">
        <v>10</v>
      </c>
      <c r="L21" s="6">
        <v>432.04</v>
      </c>
      <c r="M21" s="6">
        <v>0</v>
      </c>
      <c r="N21" s="6" t="s">
        <v>53</v>
      </c>
      <c r="O21" s="6" t="s">
        <v>98</v>
      </c>
      <c r="P21" s="6" t="s">
        <v>132</v>
      </c>
      <c r="Q21" s="6" t="s">
        <v>26</v>
      </c>
    </row>
    <row r="22" spans="1:20" ht="15.5" x14ac:dyDescent="0.35">
      <c r="A22" s="6" t="s">
        <v>344</v>
      </c>
      <c r="B22" s="7">
        <v>46089</v>
      </c>
      <c r="C22" s="7" t="s">
        <v>619</v>
      </c>
      <c r="D22" s="6" t="s">
        <v>346</v>
      </c>
      <c r="E22" s="6" t="s">
        <v>113</v>
      </c>
      <c r="F22" s="6" t="s">
        <v>51</v>
      </c>
      <c r="G22" s="6" t="s">
        <v>120</v>
      </c>
      <c r="H22" s="6" t="s">
        <v>574</v>
      </c>
      <c r="I22" s="6">
        <v>6</v>
      </c>
      <c r="J22" s="6">
        <v>27.88</v>
      </c>
      <c r="K22" s="6">
        <v>5</v>
      </c>
      <c r="L22" s="6">
        <v>167.28</v>
      </c>
      <c r="M22" s="6">
        <v>0</v>
      </c>
      <c r="N22" s="6" t="s">
        <v>53</v>
      </c>
      <c r="O22" s="6" t="s">
        <v>54</v>
      </c>
      <c r="P22" s="6" t="s">
        <v>172</v>
      </c>
      <c r="Q22" s="6" t="s">
        <v>26</v>
      </c>
      <c r="S22" s="6"/>
      <c r="T22" s="6"/>
    </row>
    <row r="23" spans="1:20" ht="15.5" x14ac:dyDescent="0.35">
      <c r="A23" s="6" t="s">
        <v>110</v>
      </c>
      <c r="B23" s="7">
        <v>46148</v>
      </c>
      <c r="C23" s="7" t="s">
        <v>616</v>
      </c>
      <c r="D23" s="6" t="s">
        <v>112</v>
      </c>
      <c r="E23" s="6" t="s">
        <v>113</v>
      </c>
      <c r="F23" s="6" t="s">
        <v>61</v>
      </c>
      <c r="G23" s="6" t="s">
        <v>71</v>
      </c>
      <c r="H23" s="6" t="s">
        <v>114</v>
      </c>
      <c r="I23" s="6">
        <v>1</v>
      </c>
      <c r="J23" s="6">
        <v>223.7</v>
      </c>
      <c r="K23" s="6">
        <v>20</v>
      </c>
      <c r="L23" s="6">
        <v>223.7</v>
      </c>
      <c r="M23" s="6">
        <v>0</v>
      </c>
      <c r="N23" s="6" t="s">
        <v>53</v>
      </c>
      <c r="O23" s="6" t="s">
        <v>115</v>
      </c>
      <c r="P23" s="6" t="s">
        <v>172</v>
      </c>
      <c r="Q23" s="6" t="s">
        <v>26</v>
      </c>
      <c r="T23" s="6"/>
    </row>
    <row r="24" spans="1:20" ht="15.5" x14ac:dyDescent="0.35">
      <c r="A24" s="6" t="s">
        <v>274</v>
      </c>
      <c r="B24" s="7">
        <v>46174</v>
      </c>
      <c r="C24" s="7" t="s">
        <v>623</v>
      </c>
      <c r="D24" s="6" t="s">
        <v>276</v>
      </c>
      <c r="E24" s="6" t="s">
        <v>19</v>
      </c>
      <c r="F24" s="6" t="s">
        <v>20</v>
      </c>
      <c r="G24" s="6" t="s">
        <v>32</v>
      </c>
      <c r="H24" s="6" t="s">
        <v>277</v>
      </c>
      <c r="I24" s="6">
        <v>7</v>
      </c>
      <c r="J24" s="6">
        <v>208.49</v>
      </c>
      <c r="K24" s="6">
        <v>15</v>
      </c>
      <c r="L24" s="6">
        <v>1459.43</v>
      </c>
      <c r="M24" s="6">
        <v>0</v>
      </c>
      <c r="N24" s="6" t="s">
        <v>53</v>
      </c>
      <c r="O24" s="6" t="s">
        <v>35</v>
      </c>
      <c r="P24" s="6" t="s">
        <v>45</v>
      </c>
      <c r="Q24" s="6" t="s">
        <v>26</v>
      </c>
      <c r="T24" s="6"/>
    </row>
    <row r="25" spans="1:20" ht="15.5" x14ac:dyDescent="0.35">
      <c r="A25" s="6" t="s">
        <v>540</v>
      </c>
      <c r="B25" s="7">
        <v>46027</v>
      </c>
      <c r="C25" s="7" t="s">
        <v>618</v>
      </c>
      <c r="D25" s="6" t="s">
        <v>542</v>
      </c>
      <c r="E25" s="6" t="s">
        <v>69</v>
      </c>
      <c r="F25" s="6" t="s">
        <v>82</v>
      </c>
      <c r="G25" s="6" t="s">
        <v>42</v>
      </c>
      <c r="H25" s="6" t="s">
        <v>62</v>
      </c>
      <c r="I25" s="6">
        <v>4</v>
      </c>
      <c r="J25" s="6">
        <v>98.84</v>
      </c>
      <c r="K25" s="6">
        <v>1</v>
      </c>
      <c r="L25" s="6">
        <v>395.36</v>
      </c>
      <c r="M25" s="6">
        <v>0</v>
      </c>
      <c r="N25" s="6" t="s">
        <v>53</v>
      </c>
      <c r="O25" s="6" t="s">
        <v>98</v>
      </c>
      <c r="P25" s="6" t="s">
        <v>55</v>
      </c>
      <c r="Q25" s="6" t="s">
        <v>26</v>
      </c>
      <c r="T25" s="6"/>
    </row>
    <row r="26" spans="1:20" ht="15.5" x14ac:dyDescent="0.35">
      <c r="A26" s="6" t="s">
        <v>93</v>
      </c>
      <c r="B26" s="7">
        <v>46130</v>
      </c>
      <c r="C26" s="7" t="s">
        <v>622</v>
      </c>
      <c r="D26" s="6" t="s">
        <v>561</v>
      </c>
      <c r="E26" s="6" t="s">
        <v>69</v>
      </c>
      <c r="F26" s="6" t="s">
        <v>82</v>
      </c>
      <c r="G26" s="6" t="s">
        <v>21</v>
      </c>
      <c r="H26" s="6" t="s">
        <v>97</v>
      </c>
      <c r="I26" s="6">
        <v>4</v>
      </c>
      <c r="J26" s="6">
        <v>124.62</v>
      </c>
      <c r="K26" s="6">
        <v>1</v>
      </c>
      <c r="L26" s="6">
        <v>498.48</v>
      </c>
      <c r="M26" s="6">
        <v>11.06</v>
      </c>
      <c r="N26" s="6" t="s">
        <v>63</v>
      </c>
      <c r="O26" s="6" t="s">
        <v>98</v>
      </c>
      <c r="P26" s="6" t="s">
        <v>55</v>
      </c>
      <c r="Q26" s="6" t="s">
        <v>26</v>
      </c>
      <c r="T26" s="6"/>
    </row>
    <row r="27" spans="1:20" ht="15.5" x14ac:dyDescent="0.35">
      <c r="A27" s="6" t="s">
        <v>204</v>
      </c>
      <c r="B27" s="7">
        <v>46125</v>
      </c>
      <c r="C27" s="7" t="s">
        <v>622</v>
      </c>
      <c r="D27" s="6" t="s">
        <v>551</v>
      </c>
      <c r="E27" s="6" t="s">
        <v>30</v>
      </c>
      <c r="F27" s="6" t="s">
        <v>126</v>
      </c>
      <c r="G27" s="6" t="s">
        <v>71</v>
      </c>
      <c r="H27" s="6" t="s">
        <v>570</v>
      </c>
      <c r="I27" s="6">
        <v>6</v>
      </c>
      <c r="J27" s="6">
        <v>56.86</v>
      </c>
      <c r="K27" s="6">
        <v>15</v>
      </c>
      <c r="L27" s="6">
        <v>341.16</v>
      </c>
      <c r="M27" s="6">
        <v>0</v>
      </c>
      <c r="N27" s="6" t="s">
        <v>53</v>
      </c>
      <c r="O27" s="6" t="s">
        <v>103</v>
      </c>
      <c r="P27" s="6" t="s">
        <v>132</v>
      </c>
      <c r="Q27" s="6" t="s">
        <v>92</v>
      </c>
      <c r="T27" s="6"/>
    </row>
    <row r="28" spans="1:20" ht="15.5" x14ac:dyDescent="0.35">
      <c r="A28" s="6" t="s">
        <v>163</v>
      </c>
      <c r="B28" s="7">
        <v>46042</v>
      </c>
      <c r="C28" s="7" t="s">
        <v>618</v>
      </c>
      <c r="D28" s="6" t="s">
        <v>165</v>
      </c>
      <c r="E28" s="6" t="s">
        <v>89</v>
      </c>
      <c r="F28" s="6" t="s">
        <v>166</v>
      </c>
      <c r="G28" s="6" t="s">
        <v>71</v>
      </c>
      <c r="H28" s="6" t="s">
        <v>167</v>
      </c>
      <c r="I28" s="6">
        <v>3</v>
      </c>
      <c r="J28" s="6">
        <v>63.44</v>
      </c>
      <c r="K28" s="6">
        <v>20</v>
      </c>
      <c r="L28" s="6">
        <v>190.32</v>
      </c>
      <c r="M28" s="6">
        <v>0</v>
      </c>
      <c r="N28" s="6" t="s">
        <v>53</v>
      </c>
      <c r="O28" s="6" t="s">
        <v>54</v>
      </c>
      <c r="P28" s="6" t="s">
        <v>132</v>
      </c>
      <c r="Q28" s="6" t="s">
        <v>92</v>
      </c>
      <c r="T28" s="6"/>
    </row>
    <row r="29" spans="1:20" ht="15.5" x14ac:dyDescent="0.35">
      <c r="A29" s="6" t="s">
        <v>143</v>
      </c>
      <c r="B29" s="7">
        <v>45983</v>
      </c>
      <c r="C29" s="7" t="s">
        <v>620</v>
      </c>
      <c r="D29" s="6" t="s">
        <v>145</v>
      </c>
      <c r="E29" s="6" t="s">
        <v>19</v>
      </c>
      <c r="F29" s="6" t="s">
        <v>119</v>
      </c>
      <c r="G29" s="6" t="s">
        <v>21</v>
      </c>
      <c r="H29" s="6" t="s">
        <v>97</v>
      </c>
      <c r="I29" s="6">
        <v>4</v>
      </c>
      <c r="J29" s="6">
        <v>23.62</v>
      </c>
      <c r="K29" s="6">
        <v>10</v>
      </c>
      <c r="L29" s="6">
        <v>94.48</v>
      </c>
      <c r="M29" s="6">
        <v>10.52</v>
      </c>
      <c r="N29" s="6" t="s">
        <v>63</v>
      </c>
      <c r="O29" s="6" t="s">
        <v>24</v>
      </c>
      <c r="P29" s="6" t="s">
        <v>132</v>
      </c>
      <c r="Q29" s="6" t="s">
        <v>146</v>
      </c>
      <c r="T29" s="6"/>
    </row>
    <row r="30" spans="1:20" ht="15.5" x14ac:dyDescent="0.35">
      <c r="A30" s="6" t="s">
        <v>367</v>
      </c>
      <c r="B30" s="7">
        <v>46264</v>
      </c>
      <c r="C30" s="7" t="s">
        <v>624</v>
      </c>
      <c r="D30" s="6" t="s">
        <v>369</v>
      </c>
      <c r="E30" s="6" t="s">
        <v>113</v>
      </c>
      <c r="F30" s="6" t="s">
        <v>51</v>
      </c>
      <c r="G30" s="6" t="s">
        <v>21</v>
      </c>
      <c r="H30" s="6" t="s">
        <v>52</v>
      </c>
      <c r="I30" s="6">
        <v>8</v>
      </c>
      <c r="J30" s="6">
        <v>178.29</v>
      </c>
      <c r="K30" s="6">
        <v>0</v>
      </c>
      <c r="L30" s="6">
        <v>1426.32</v>
      </c>
      <c r="M30" s="6">
        <v>0</v>
      </c>
      <c r="N30" s="6" t="s">
        <v>53</v>
      </c>
      <c r="O30" s="6" t="s">
        <v>98</v>
      </c>
      <c r="P30" s="6" t="s">
        <v>132</v>
      </c>
      <c r="Q30" s="6" t="s">
        <v>26</v>
      </c>
      <c r="T30" s="6"/>
    </row>
    <row r="31" spans="1:20" ht="15.5" x14ac:dyDescent="0.35">
      <c r="A31" s="6" t="s">
        <v>347</v>
      </c>
      <c r="B31" s="7">
        <v>46180</v>
      </c>
      <c r="C31" s="7" t="s">
        <v>623</v>
      </c>
      <c r="D31" s="6" t="s">
        <v>349</v>
      </c>
      <c r="E31" s="6" t="s">
        <v>113</v>
      </c>
      <c r="F31" s="6" t="s">
        <v>41</v>
      </c>
      <c r="G31" s="6" t="s">
        <v>21</v>
      </c>
      <c r="H31" s="6" t="s">
        <v>22</v>
      </c>
      <c r="I31" s="6">
        <v>7</v>
      </c>
      <c r="J31" s="6">
        <v>87.42</v>
      </c>
      <c r="K31" s="6">
        <v>1</v>
      </c>
      <c r="L31" s="6">
        <v>611.94000000000005</v>
      </c>
      <c r="M31" s="6">
        <v>0</v>
      </c>
      <c r="N31" s="6" t="s">
        <v>53</v>
      </c>
      <c r="O31" s="6" t="s">
        <v>152</v>
      </c>
      <c r="P31" s="6" t="s">
        <v>55</v>
      </c>
      <c r="Q31" s="6" t="s">
        <v>92</v>
      </c>
      <c r="T31" s="6"/>
    </row>
    <row r="32" spans="1:20" ht="15.5" x14ac:dyDescent="0.35">
      <c r="A32" s="6" t="s">
        <v>334</v>
      </c>
      <c r="B32" s="7">
        <v>46087</v>
      </c>
      <c r="C32" s="7" t="s">
        <v>619</v>
      </c>
      <c r="D32" s="6" t="s">
        <v>336</v>
      </c>
      <c r="E32" s="6" t="s">
        <v>19</v>
      </c>
      <c r="F32" s="6" t="s">
        <v>119</v>
      </c>
      <c r="G32" s="6" t="s">
        <v>21</v>
      </c>
      <c r="H32" s="6" t="s">
        <v>248</v>
      </c>
      <c r="I32" s="6">
        <v>1</v>
      </c>
      <c r="J32" s="6">
        <v>27.8</v>
      </c>
      <c r="K32" s="6">
        <v>0</v>
      </c>
      <c r="L32" s="6">
        <v>27.8</v>
      </c>
      <c r="M32" s="6">
        <v>0</v>
      </c>
      <c r="N32" s="6" t="s">
        <v>53</v>
      </c>
      <c r="O32" s="6" t="s">
        <v>24</v>
      </c>
      <c r="P32" s="6" t="s">
        <v>55</v>
      </c>
      <c r="Q32" s="6" t="s">
        <v>26</v>
      </c>
      <c r="T32" s="6"/>
    </row>
    <row r="33" spans="1:20" ht="15.5" x14ac:dyDescent="0.35">
      <c r="A33" s="6" t="s">
        <v>535</v>
      </c>
      <c r="B33" s="7">
        <v>46232</v>
      </c>
      <c r="C33" s="7" t="s">
        <v>625</v>
      </c>
      <c r="D33" s="6" t="s">
        <v>536</v>
      </c>
      <c r="E33" s="6" t="s">
        <v>30</v>
      </c>
      <c r="F33" s="6" t="s">
        <v>126</v>
      </c>
      <c r="G33" s="6" t="s">
        <v>120</v>
      </c>
      <c r="H33" s="6" t="s">
        <v>252</v>
      </c>
      <c r="I33" s="6">
        <v>3</v>
      </c>
      <c r="J33" s="6">
        <v>51.93</v>
      </c>
      <c r="K33" s="6">
        <v>15</v>
      </c>
      <c r="L33" s="6">
        <v>155.79</v>
      </c>
      <c r="M33" s="6">
        <v>8.31</v>
      </c>
      <c r="N33" s="6" t="s">
        <v>63</v>
      </c>
      <c r="O33" s="6" t="s">
        <v>103</v>
      </c>
      <c r="P33" s="6" t="s">
        <v>138</v>
      </c>
      <c r="Q33" s="6" t="s">
        <v>146</v>
      </c>
      <c r="T33" s="6"/>
    </row>
    <row r="34" spans="1:20" ht="15.5" x14ac:dyDescent="0.35">
      <c r="A34" s="6" t="s">
        <v>543</v>
      </c>
      <c r="B34" s="7">
        <v>46059</v>
      </c>
      <c r="C34" s="7" t="s">
        <v>621</v>
      </c>
      <c r="D34" s="6" t="s">
        <v>545</v>
      </c>
      <c r="E34" s="6" t="s">
        <v>113</v>
      </c>
      <c r="F34" s="6" t="s">
        <v>41</v>
      </c>
      <c r="G34" s="6" t="s">
        <v>120</v>
      </c>
      <c r="H34" s="6" t="s">
        <v>450</v>
      </c>
      <c r="I34" s="6">
        <v>8</v>
      </c>
      <c r="J34" s="6">
        <v>112.91</v>
      </c>
      <c r="K34" s="6">
        <v>0</v>
      </c>
      <c r="L34" s="6">
        <v>903.28</v>
      </c>
      <c r="M34" s="6">
        <v>23.83</v>
      </c>
      <c r="N34" s="6" t="s">
        <v>63</v>
      </c>
      <c r="O34" s="6" t="s">
        <v>84</v>
      </c>
      <c r="P34" s="6" t="s">
        <v>138</v>
      </c>
      <c r="Q34" s="6" t="s">
        <v>26</v>
      </c>
      <c r="T34" s="6"/>
    </row>
    <row r="35" spans="1:20" ht="15.5" x14ac:dyDescent="0.35">
      <c r="A35" s="6" t="s">
        <v>129</v>
      </c>
      <c r="B35" s="7">
        <v>46150</v>
      </c>
      <c r="C35" s="7" t="s">
        <v>616</v>
      </c>
      <c r="D35" s="6" t="s">
        <v>131</v>
      </c>
      <c r="E35" s="6" t="s">
        <v>19</v>
      </c>
      <c r="F35" s="6" t="s">
        <v>119</v>
      </c>
      <c r="G35" s="6" t="s">
        <v>42</v>
      </c>
      <c r="H35" s="6" t="s">
        <v>43</v>
      </c>
      <c r="I35" s="6">
        <v>7</v>
      </c>
      <c r="J35" s="6">
        <v>115.38</v>
      </c>
      <c r="K35" s="6">
        <v>15</v>
      </c>
      <c r="L35" s="6">
        <v>807.66</v>
      </c>
      <c r="M35" s="6">
        <v>17.190000000000001</v>
      </c>
      <c r="N35" s="6" t="s">
        <v>63</v>
      </c>
      <c r="O35" s="6" t="s">
        <v>115</v>
      </c>
      <c r="P35" s="6" t="s">
        <v>132</v>
      </c>
      <c r="Q35" s="6" t="s">
        <v>26</v>
      </c>
      <c r="T35" s="6"/>
    </row>
    <row r="36" spans="1:20" ht="15.5" x14ac:dyDescent="0.35">
      <c r="A36" s="6" t="s">
        <v>385</v>
      </c>
      <c r="B36" s="7">
        <v>46163</v>
      </c>
      <c r="C36" s="7" t="s">
        <v>616</v>
      </c>
      <c r="D36" s="6" t="s">
        <v>386</v>
      </c>
      <c r="E36" s="6" t="s">
        <v>89</v>
      </c>
      <c r="F36" s="6" t="s">
        <v>166</v>
      </c>
      <c r="G36" s="6" t="s">
        <v>21</v>
      </c>
      <c r="H36" s="6" t="s">
        <v>22</v>
      </c>
      <c r="I36" s="6">
        <v>1</v>
      </c>
      <c r="J36" s="6">
        <v>61.71</v>
      </c>
      <c r="K36" s="6">
        <v>5</v>
      </c>
      <c r="L36" s="6">
        <v>61.71</v>
      </c>
      <c r="M36" s="6">
        <v>0</v>
      </c>
      <c r="N36" s="6" t="s">
        <v>53</v>
      </c>
      <c r="O36" s="6" t="s">
        <v>115</v>
      </c>
      <c r="P36" s="6" t="s">
        <v>138</v>
      </c>
      <c r="Q36" s="6" t="s">
        <v>26</v>
      </c>
      <c r="T36" s="6"/>
    </row>
    <row r="37" spans="1:20" ht="15.5" x14ac:dyDescent="0.35">
      <c r="A37" s="6" t="s">
        <v>491</v>
      </c>
      <c r="B37" s="7">
        <v>46137</v>
      </c>
      <c r="C37" s="7" t="s">
        <v>622</v>
      </c>
      <c r="D37" s="6" t="s">
        <v>492</v>
      </c>
      <c r="E37" s="6" t="s">
        <v>30</v>
      </c>
      <c r="F37" s="6" t="s">
        <v>126</v>
      </c>
      <c r="G37" s="6" t="s">
        <v>120</v>
      </c>
      <c r="H37" s="6" t="s">
        <v>573</v>
      </c>
      <c r="I37" s="6">
        <v>5</v>
      </c>
      <c r="J37" s="6">
        <v>112.59</v>
      </c>
      <c r="K37" s="6">
        <v>10</v>
      </c>
      <c r="L37" s="6">
        <v>562.95000000000005</v>
      </c>
      <c r="M37" s="6">
        <v>0</v>
      </c>
      <c r="N37" s="6" t="s">
        <v>53</v>
      </c>
      <c r="O37" s="6" t="s">
        <v>24</v>
      </c>
      <c r="P37" s="6" t="s">
        <v>45</v>
      </c>
      <c r="Q37" s="6" t="s">
        <v>26</v>
      </c>
    </row>
    <row r="38" spans="1:20" ht="15.5" x14ac:dyDescent="0.35">
      <c r="A38" s="6" t="s">
        <v>253</v>
      </c>
      <c r="B38" s="7">
        <v>46023</v>
      </c>
      <c r="C38" s="7" t="s">
        <v>618</v>
      </c>
      <c r="D38" s="6" t="s">
        <v>131</v>
      </c>
      <c r="E38" s="6" t="s">
        <v>19</v>
      </c>
      <c r="F38" s="6" t="s">
        <v>20</v>
      </c>
      <c r="G38" s="6" t="s">
        <v>120</v>
      </c>
      <c r="H38" s="6" t="s">
        <v>574</v>
      </c>
      <c r="I38" s="6">
        <v>3</v>
      </c>
      <c r="J38" s="6">
        <v>120.27</v>
      </c>
      <c r="K38" s="6">
        <v>0</v>
      </c>
      <c r="L38" s="6">
        <v>360.81</v>
      </c>
      <c r="M38" s="6">
        <v>4.41</v>
      </c>
      <c r="N38" s="6" t="s">
        <v>63</v>
      </c>
      <c r="O38" s="6" t="s">
        <v>44</v>
      </c>
      <c r="P38" s="6" t="s">
        <v>55</v>
      </c>
      <c r="Q38" s="6" t="s">
        <v>26</v>
      </c>
    </row>
    <row r="39" spans="1:20" ht="15.5" x14ac:dyDescent="0.35">
      <c r="A39" s="6" t="s">
        <v>466</v>
      </c>
      <c r="B39" s="7">
        <v>45931</v>
      </c>
      <c r="C39" s="7" t="s">
        <v>617</v>
      </c>
      <c r="D39" s="6" t="s">
        <v>326</v>
      </c>
      <c r="E39" s="6" t="s">
        <v>113</v>
      </c>
      <c r="F39" s="6" t="s">
        <v>51</v>
      </c>
      <c r="G39" s="6" t="s">
        <v>21</v>
      </c>
      <c r="H39" s="6" t="s">
        <v>273</v>
      </c>
      <c r="I39" s="6">
        <v>6</v>
      </c>
      <c r="J39" s="6">
        <v>33.4</v>
      </c>
      <c r="K39" s="6">
        <v>15</v>
      </c>
      <c r="L39" s="6">
        <v>200.4</v>
      </c>
      <c r="M39" s="6">
        <v>0</v>
      </c>
      <c r="N39" s="6" t="s">
        <v>53</v>
      </c>
      <c r="O39" s="6" t="s">
        <v>35</v>
      </c>
      <c r="P39" s="6" t="s">
        <v>45</v>
      </c>
      <c r="Q39" s="6" t="s">
        <v>26</v>
      </c>
    </row>
    <row r="40" spans="1:20" ht="15.5" x14ac:dyDescent="0.35">
      <c r="A40" s="6" t="s">
        <v>177</v>
      </c>
      <c r="B40" s="7">
        <v>46139</v>
      </c>
      <c r="C40" s="7" t="s">
        <v>622</v>
      </c>
      <c r="D40" s="6" t="s">
        <v>179</v>
      </c>
      <c r="E40" s="6" t="s">
        <v>69</v>
      </c>
      <c r="F40" s="6" t="s">
        <v>180</v>
      </c>
      <c r="G40" s="6" t="s">
        <v>21</v>
      </c>
      <c r="H40" s="6" t="s">
        <v>273</v>
      </c>
      <c r="I40" s="6">
        <v>4</v>
      </c>
      <c r="J40" s="6">
        <v>178.9</v>
      </c>
      <c r="K40" s="6">
        <v>5</v>
      </c>
      <c r="L40" s="6">
        <v>715.6</v>
      </c>
      <c r="M40" s="6">
        <v>0</v>
      </c>
      <c r="N40" s="6" t="s">
        <v>53</v>
      </c>
      <c r="O40" s="6" t="s">
        <v>84</v>
      </c>
      <c r="P40" s="6" t="s">
        <v>172</v>
      </c>
      <c r="Q40" s="6" t="s">
        <v>56</v>
      </c>
    </row>
    <row r="41" spans="1:20" ht="15.5" x14ac:dyDescent="0.35">
      <c r="A41" s="6" t="s">
        <v>159</v>
      </c>
      <c r="B41" s="7">
        <v>46000</v>
      </c>
      <c r="C41" s="7" t="s">
        <v>626</v>
      </c>
      <c r="D41" s="6" t="s">
        <v>161</v>
      </c>
      <c r="E41" s="6" t="s">
        <v>113</v>
      </c>
      <c r="F41" s="6" t="s">
        <v>41</v>
      </c>
      <c r="G41" s="6" t="s">
        <v>71</v>
      </c>
      <c r="H41" s="6" t="s">
        <v>162</v>
      </c>
      <c r="I41" s="6">
        <v>7</v>
      </c>
      <c r="J41" s="6">
        <v>51.7</v>
      </c>
      <c r="K41" s="6">
        <v>0</v>
      </c>
      <c r="L41" s="6">
        <v>361.9</v>
      </c>
      <c r="M41" s="6">
        <v>21.26</v>
      </c>
      <c r="N41" s="6" t="s">
        <v>63</v>
      </c>
      <c r="O41" s="6" t="s">
        <v>103</v>
      </c>
      <c r="P41" s="6" t="s">
        <v>138</v>
      </c>
      <c r="Q41" s="6" t="s">
        <v>26</v>
      </c>
    </row>
    <row r="42" spans="1:20" ht="15.5" x14ac:dyDescent="0.35">
      <c r="A42" s="6" t="s">
        <v>374</v>
      </c>
      <c r="B42" s="7">
        <v>46053</v>
      </c>
      <c r="C42" s="7" t="s">
        <v>618</v>
      </c>
      <c r="D42" s="6" t="s">
        <v>376</v>
      </c>
      <c r="E42" s="6" t="s">
        <v>19</v>
      </c>
      <c r="F42" s="6" t="s">
        <v>119</v>
      </c>
      <c r="G42" s="6" t="s">
        <v>32</v>
      </c>
      <c r="H42" s="6" t="s">
        <v>265</v>
      </c>
      <c r="I42" s="6">
        <v>7</v>
      </c>
      <c r="J42" s="6">
        <v>116.56</v>
      </c>
      <c r="K42" s="6">
        <v>5</v>
      </c>
      <c r="L42" s="6">
        <v>815.92</v>
      </c>
      <c r="M42" s="6">
        <v>0</v>
      </c>
      <c r="N42" s="6" t="s">
        <v>53</v>
      </c>
      <c r="O42" s="6" t="s">
        <v>44</v>
      </c>
      <c r="P42" s="6" t="s">
        <v>172</v>
      </c>
      <c r="Q42" s="6" t="s">
        <v>146</v>
      </c>
    </row>
    <row r="43" spans="1:20" ht="15.5" x14ac:dyDescent="0.35">
      <c r="A43" s="6" t="s">
        <v>391</v>
      </c>
      <c r="B43" s="7">
        <v>46004</v>
      </c>
      <c r="C43" s="7" t="s">
        <v>626</v>
      </c>
      <c r="D43" s="6" t="s">
        <v>562</v>
      </c>
      <c r="E43" s="6" t="s">
        <v>19</v>
      </c>
      <c r="F43" s="6" t="s">
        <v>119</v>
      </c>
      <c r="G43" s="6" t="s">
        <v>32</v>
      </c>
      <c r="H43" s="6" t="s">
        <v>33</v>
      </c>
      <c r="I43" s="6">
        <v>8</v>
      </c>
      <c r="J43" s="6">
        <v>29.43</v>
      </c>
      <c r="K43" s="6">
        <v>20</v>
      </c>
      <c r="L43" s="6">
        <v>235.44</v>
      </c>
      <c r="M43" s="6">
        <v>0</v>
      </c>
      <c r="N43" s="6" t="s">
        <v>53</v>
      </c>
      <c r="O43" s="6" t="s">
        <v>54</v>
      </c>
      <c r="P43" s="6" t="s">
        <v>172</v>
      </c>
      <c r="Q43" s="6" t="s">
        <v>26</v>
      </c>
    </row>
    <row r="44" spans="1:20" ht="15.5" x14ac:dyDescent="0.35">
      <c r="A44" s="6" t="s">
        <v>57</v>
      </c>
      <c r="B44" s="7">
        <v>45981</v>
      </c>
      <c r="C44" s="7" t="s">
        <v>620</v>
      </c>
      <c r="D44" s="6" t="s">
        <v>59</v>
      </c>
      <c r="E44" s="6" t="s">
        <v>113</v>
      </c>
      <c r="F44" s="6" t="s">
        <v>61</v>
      </c>
      <c r="G44" s="6" t="s">
        <v>42</v>
      </c>
      <c r="H44" s="6" t="s">
        <v>62</v>
      </c>
      <c r="I44" s="6">
        <v>5</v>
      </c>
      <c r="J44" s="6">
        <v>249.37</v>
      </c>
      <c r="K44" s="6">
        <v>20</v>
      </c>
      <c r="L44" s="6">
        <v>1246.8499999999999</v>
      </c>
      <c r="M44" s="6">
        <v>10.24</v>
      </c>
      <c r="N44" s="6" t="s">
        <v>63</v>
      </c>
      <c r="O44" s="6" t="s">
        <v>24</v>
      </c>
      <c r="P44" s="6" t="s">
        <v>138</v>
      </c>
      <c r="Q44" s="6" t="s">
        <v>26</v>
      </c>
    </row>
    <row r="45" spans="1:20" ht="15.5" x14ac:dyDescent="0.35">
      <c r="A45" s="6" t="s">
        <v>523</v>
      </c>
      <c r="B45" s="7">
        <v>46004</v>
      </c>
      <c r="C45" s="7" t="s">
        <v>626</v>
      </c>
      <c r="D45" s="6" t="s">
        <v>525</v>
      </c>
      <c r="E45" s="6" t="s">
        <v>30</v>
      </c>
      <c r="F45" s="6" t="s">
        <v>31</v>
      </c>
      <c r="G45" s="6" t="s">
        <v>71</v>
      </c>
      <c r="H45" s="6" t="s">
        <v>262</v>
      </c>
      <c r="I45" s="6">
        <v>7</v>
      </c>
      <c r="J45" s="6">
        <v>156.83000000000001</v>
      </c>
      <c r="K45" s="6">
        <v>0</v>
      </c>
      <c r="L45" s="6">
        <v>1097.81</v>
      </c>
      <c r="M45" s="6">
        <v>5.63</v>
      </c>
      <c r="N45" s="6" t="s">
        <v>63</v>
      </c>
      <c r="O45" s="6" t="s">
        <v>35</v>
      </c>
      <c r="P45" s="6" t="s">
        <v>172</v>
      </c>
      <c r="Q45" s="6" t="s">
        <v>26</v>
      </c>
    </row>
    <row r="46" spans="1:20" ht="15.5" x14ac:dyDescent="0.35">
      <c r="A46" s="6" t="s">
        <v>503</v>
      </c>
      <c r="B46" s="7">
        <v>46114</v>
      </c>
      <c r="C46" s="7" t="s">
        <v>622</v>
      </c>
      <c r="D46" s="6" t="s">
        <v>504</v>
      </c>
      <c r="E46" s="6" t="s">
        <v>113</v>
      </c>
      <c r="F46" s="6" t="s">
        <v>41</v>
      </c>
      <c r="G46" s="6" t="s">
        <v>21</v>
      </c>
      <c r="H46" s="6" t="s">
        <v>211</v>
      </c>
      <c r="I46" s="6">
        <v>7</v>
      </c>
      <c r="J46" s="6">
        <v>214.07</v>
      </c>
      <c r="K46" s="6">
        <v>0</v>
      </c>
      <c r="L46" s="6">
        <v>1498.49</v>
      </c>
      <c r="M46" s="6">
        <v>0</v>
      </c>
      <c r="N46" s="6" t="s">
        <v>53</v>
      </c>
      <c r="O46" s="6" t="s">
        <v>152</v>
      </c>
      <c r="P46" s="6" t="s">
        <v>132</v>
      </c>
      <c r="Q46" s="6" t="s">
        <v>56</v>
      </c>
    </row>
    <row r="47" spans="1:20" ht="15.5" x14ac:dyDescent="0.35">
      <c r="A47" s="6" t="s">
        <v>413</v>
      </c>
      <c r="B47" s="7">
        <v>46248</v>
      </c>
      <c r="C47" s="7" t="s">
        <v>624</v>
      </c>
      <c r="D47" s="6" t="s">
        <v>563</v>
      </c>
      <c r="E47" s="6" t="s">
        <v>19</v>
      </c>
      <c r="F47" s="6" t="s">
        <v>119</v>
      </c>
      <c r="G47" s="6" t="s">
        <v>21</v>
      </c>
      <c r="H47" s="6" t="s">
        <v>211</v>
      </c>
      <c r="I47" s="6">
        <v>4</v>
      </c>
      <c r="J47" s="6">
        <v>153.72999999999999</v>
      </c>
      <c r="K47" s="6">
        <v>15</v>
      </c>
      <c r="L47" s="6">
        <v>614.91999999999996</v>
      </c>
      <c r="M47" s="6">
        <v>9.11</v>
      </c>
      <c r="N47" s="6" t="s">
        <v>63</v>
      </c>
      <c r="O47" s="6" t="s">
        <v>54</v>
      </c>
      <c r="P47" s="6" t="s">
        <v>132</v>
      </c>
      <c r="Q47" s="6" t="s">
        <v>26</v>
      </c>
    </row>
    <row r="48" spans="1:20" ht="15.5" x14ac:dyDescent="0.35">
      <c r="A48" s="6" t="s">
        <v>153</v>
      </c>
      <c r="B48" s="7">
        <v>46187</v>
      </c>
      <c r="C48" s="7" t="s">
        <v>623</v>
      </c>
      <c r="D48" s="6" t="s">
        <v>155</v>
      </c>
      <c r="E48" s="6" t="s">
        <v>89</v>
      </c>
      <c r="F48" s="6" t="s">
        <v>136</v>
      </c>
      <c r="G48" s="6" t="s">
        <v>32</v>
      </c>
      <c r="H48" s="6" t="s">
        <v>157</v>
      </c>
      <c r="I48" s="6">
        <v>3</v>
      </c>
      <c r="J48" s="6">
        <v>197.7</v>
      </c>
      <c r="K48" s="6">
        <v>20</v>
      </c>
      <c r="L48" s="6">
        <v>593.1</v>
      </c>
      <c r="M48" s="6">
        <v>24.15</v>
      </c>
      <c r="N48" s="6" t="s">
        <v>63</v>
      </c>
      <c r="O48" s="6" t="s">
        <v>24</v>
      </c>
      <c r="P48" s="6" t="s">
        <v>132</v>
      </c>
      <c r="Q48" s="6" t="s">
        <v>146</v>
      </c>
    </row>
    <row r="49" spans="1:17" ht="15.5" x14ac:dyDescent="0.35">
      <c r="A49" s="6" t="s">
        <v>281</v>
      </c>
      <c r="B49" s="7">
        <v>46230</v>
      </c>
      <c r="C49" s="7" t="s">
        <v>625</v>
      </c>
      <c r="D49" s="6" t="s">
        <v>283</v>
      </c>
      <c r="E49" s="6" t="s">
        <v>113</v>
      </c>
      <c r="F49" s="6" t="s">
        <v>61</v>
      </c>
      <c r="G49" s="6" t="s">
        <v>120</v>
      </c>
      <c r="H49" s="6" t="s">
        <v>137</v>
      </c>
      <c r="I49" s="6">
        <v>2</v>
      </c>
      <c r="J49" s="6">
        <v>116.42</v>
      </c>
      <c r="K49" s="6">
        <v>10</v>
      </c>
      <c r="L49" s="6">
        <v>232.84</v>
      </c>
      <c r="M49" s="6">
        <v>0</v>
      </c>
      <c r="N49" s="6" t="s">
        <v>53</v>
      </c>
      <c r="O49" s="6" t="s">
        <v>103</v>
      </c>
      <c r="P49" s="6" t="s">
        <v>55</v>
      </c>
      <c r="Q49" s="6" t="s">
        <v>146</v>
      </c>
    </row>
    <row r="50" spans="1:17" ht="15.5" x14ac:dyDescent="0.35">
      <c r="A50" s="6" t="s">
        <v>419</v>
      </c>
      <c r="B50" s="7">
        <v>45980</v>
      </c>
      <c r="C50" s="7" t="s">
        <v>620</v>
      </c>
      <c r="D50" s="6" t="s">
        <v>106</v>
      </c>
      <c r="E50" s="6" t="s">
        <v>89</v>
      </c>
      <c r="F50" s="6" t="s">
        <v>136</v>
      </c>
      <c r="G50" s="6" t="s">
        <v>32</v>
      </c>
      <c r="H50" s="6" t="s">
        <v>157</v>
      </c>
      <c r="I50" s="6">
        <v>1</v>
      </c>
      <c r="J50" s="6">
        <v>236.83</v>
      </c>
      <c r="K50" s="6">
        <v>5</v>
      </c>
      <c r="L50" s="6">
        <v>236.83</v>
      </c>
      <c r="M50" s="6">
        <v>0</v>
      </c>
      <c r="N50" s="6" t="s">
        <v>53</v>
      </c>
      <c r="O50" s="6" t="s">
        <v>78</v>
      </c>
      <c r="P50" s="6" t="s">
        <v>172</v>
      </c>
      <c r="Q50" s="6" t="s">
        <v>146</v>
      </c>
    </row>
    <row r="51" spans="1:17" ht="15.5" x14ac:dyDescent="0.35">
      <c r="A51" s="6" t="s">
        <v>444</v>
      </c>
      <c r="B51" s="7">
        <v>45981</v>
      </c>
      <c r="C51" s="7" t="s">
        <v>620</v>
      </c>
      <c r="D51" s="6" t="s">
        <v>445</v>
      </c>
      <c r="E51" s="6" t="s">
        <v>113</v>
      </c>
      <c r="F51" s="6" t="s">
        <v>51</v>
      </c>
      <c r="G51" s="6" t="s">
        <v>32</v>
      </c>
      <c r="H51" s="6" t="s">
        <v>390</v>
      </c>
      <c r="I51" s="6">
        <v>4</v>
      </c>
      <c r="J51" s="6">
        <v>113.63</v>
      </c>
      <c r="K51" s="6">
        <v>0</v>
      </c>
      <c r="L51" s="6">
        <v>454.52</v>
      </c>
      <c r="M51" s="6">
        <v>20.96</v>
      </c>
      <c r="N51" s="6" t="s">
        <v>63</v>
      </c>
      <c r="O51" s="6" t="s">
        <v>115</v>
      </c>
      <c r="P51" s="6" t="s">
        <v>55</v>
      </c>
      <c r="Q51" s="6" t="s">
        <v>26</v>
      </c>
    </row>
    <row r="52" spans="1:17" ht="15.5" x14ac:dyDescent="0.35">
      <c r="A52" s="6" t="s">
        <v>86</v>
      </c>
      <c r="B52" s="7">
        <v>46041</v>
      </c>
      <c r="C52" s="7" t="s">
        <v>618</v>
      </c>
      <c r="D52" s="6" t="s">
        <v>88</v>
      </c>
      <c r="E52" s="6" t="s">
        <v>89</v>
      </c>
      <c r="F52" s="6" t="s">
        <v>90</v>
      </c>
      <c r="G52" s="6" t="s">
        <v>32</v>
      </c>
      <c r="H52" s="6" t="s">
        <v>91</v>
      </c>
      <c r="I52" s="6">
        <v>4</v>
      </c>
      <c r="J52" s="6">
        <v>21.81</v>
      </c>
      <c r="K52" s="6">
        <v>0</v>
      </c>
      <c r="L52" s="6">
        <v>87.24</v>
      </c>
      <c r="M52" s="6">
        <v>4.53</v>
      </c>
      <c r="N52" s="6" t="s">
        <v>63</v>
      </c>
      <c r="O52" s="6" t="s">
        <v>78</v>
      </c>
      <c r="P52" s="6" t="s">
        <v>55</v>
      </c>
      <c r="Q52" s="6" t="s">
        <v>92</v>
      </c>
    </row>
    <row r="53" spans="1:17" ht="15.5" x14ac:dyDescent="0.35">
      <c r="A53" s="6" t="s">
        <v>285</v>
      </c>
      <c r="B53" s="7">
        <v>46174</v>
      </c>
      <c r="C53" s="7" t="s">
        <v>623</v>
      </c>
      <c r="D53" s="6" t="s">
        <v>560</v>
      </c>
      <c r="E53" s="6" t="s">
        <v>30</v>
      </c>
      <c r="F53" s="6" t="s">
        <v>126</v>
      </c>
      <c r="G53" s="6" t="s">
        <v>120</v>
      </c>
      <c r="H53" s="6" t="s">
        <v>573</v>
      </c>
      <c r="I53" s="6">
        <v>3</v>
      </c>
      <c r="J53" s="6">
        <v>186.72</v>
      </c>
      <c r="K53" s="6">
        <v>15</v>
      </c>
      <c r="L53" s="6">
        <v>560.16</v>
      </c>
      <c r="M53" s="6">
        <v>0</v>
      </c>
      <c r="N53" s="6" t="s">
        <v>53</v>
      </c>
      <c r="O53" s="6" t="s">
        <v>103</v>
      </c>
      <c r="P53" s="6" t="s">
        <v>45</v>
      </c>
      <c r="Q53" s="6" t="s">
        <v>92</v>
      </c>
    </row>
    <row r="54" spans="1:17" ht="15.5" x14ac:dyDescent="0.35">
      <c r="A54" s="6" t="s">
        <v>460</v>
      </c>
      <c r="B54" s="7">
        <v>45972</v>
      </c>
      <c r="C54" s="7" t="s">
        <v>620</v>
      </c>
      <c r="D54" s="6" t="s">
        <v>462</v>
      </c>
      <c r="E54" s="6" t="s">
        <v>89</v>
      </c>
      <c r="F54" s="6" t="s">
        <v>166</v>
      </c>
      <c r="G54" s="6" t="s">
        <v>21</v>
      </c>
      <c r="H54" s="6" t="s">
        <v>97</v>
      </c>
      <c r="I54" s="6">
        <v>2</v>
      </c>
      <c r="J54" s="6">
        <v>125.12</v>
      </c>
      <c r="K54" s="6">
        <v>5</v>
      </c>
      <c r="L54" s="6">
        <v>250.24</v>
      </c>
      <c r="M54" s="6">
        <v>0</v>
      </c>
      <c r="N54" s="6" t="s">
        <v>53</v>
      </c>
      <c r="O54" s="6" t="s">
        <v>24</v>
      </c>
      <c r="P54" s="6" t="s">
        <v>172</v>
      </c>
      <c r="Q54" s="6" t="s">
        <v>26</v>
      </c>
    </row>
    <row r="55" spans="1:17" ht="15.5" x14ac:dyDescent="0.35">
      <c r="A55" s="6" t="s">
        <v>438</v>
      </c>
      <c r="B55" s="7">
        <v>45979</v>
      </c>
      <c r="C55" s="7" t="s">
        <v>620</v>
      </c>
      <c r="D55" s="6" t="s">
        <v>440</v>
      </c>
      <c r="E55" s="6" t="s">
        <v>89</v>
      </c>
      <c r="F55" s="6" t="s">
        <v>90</v>
      </c>
      <c r="G55" s="6" t="s">
        <v>42</v>
      </c>
      <c r="H55" s="6" t="s">
        <v>43</v>
      </c>
      <c r="I55" s="6">
        <v>4</v>
      </c>
      <c r="J55" s="6">
        <v>106.38</v>
      </c>
      <c r="K55" s="6">
        <v>0</v>
      </c>
      <c r="L55" s="6">
        <v>425.52</v>
      </c>
      <c r="M55" s="6">
        <v>0</v>
      </c>
      <c r="N55" s="6" t="s">
        <v>53</v>
      </c>
      <c r="O55" s="6" t="s">
        <v>35</v>
      </c>
      <c r="P55" s="6" t="s">
        <v>55</v>
      </c>
      <c r="Q55" s="6" t="s">
        <v>26</v>
      </c>
    </row>
    <row r="56" spans="1:17" ht="15.5" x14ac:dyDescent="0.35">
      <c r="A56" s="6" t="s">
        <v>496</v>
      </c>
      <c r="B56" s="7">
        <v>46147</v>
      </c>
      <c r="C56" s="7" t="s">
        <v>616</v>
      </c>
      <c r="D56" s="6" t="s">
        <v>498</v>
      </c>
      <c r="E56" s="6" t="s">
        <v>69</v>
      </c>
      <c r="F56" s="6" t="s">
        <v>70</v>
      </c>
      <c r="G56" s="6" t="s">
        <v>42</v>
      </c>
      <c r="H56" s="6" t="s">
        <v>572</v>
      </c>
      <c r="I56" s="6">
        <v>6</v>
      </c>
      <c r="J56" s="6">
        <v>169.15</v>
      </c>
      <c r="K56" s="6">
        <v>0</v>
      </c>
      <c r="L56" s="6">
        <v>1014.9</v>
      </c>
      <c r="M56" s="6">
        <v>0</v>
      </c>
      <c r="N56" s="6" t="s">
        <v>53</v>
      </c>
      <c r="O56" s="6" t="s">
        <v>115</v>
      </c>
      <c r="P56" s="6" t="s">
        <v>138</v>
      </c>
      <c r="Q56" s="6" t="s">
        <v>56</v>
      </c>
    </row>
    <row r="57" spans="1:17" ht="15.5" x14ac:dyDescent="0.35">
      <c r="A57" s="6" t="s">
        <v>79</v>
      </c>
      <c r="B57" s="7">
        <v>46245</v>
      </c>
      <c r="C57" s="7" t="s">
        <v>624</v>
      </c>
      <c r="D57" s="6" t="s">
        <v>81</v>
      </c>
      <c r="E57" s="6" t="s">
        <v>69</v>
      </c>
      <c r="F57" s="6" t="s">
        <v>82</v>
      </c>
      <c r="G57" s="6" t="s">
        <v>32</v>
      </c>
      <c r="H57" s="6" t="s">
        <v>83</v>
      </c>
      <c r="I57" s="6">
        <v>7</v>
      </c>
      <c r="J57" s="6">
        <v>212.06</v>
      </c>
      <c r="K57" s="6">
        <v>0</v>
      </c>
      <c r="L57" s="6">
        <v>1484.42</v>
      </c>
      <c r="M57" s="6">
        <v>9.11</v>
      </c>
      <c r="N57" s="6" t="s">
        <v>63</v>
      </c>
      <c r="O57" s="6" t="s">
        <v>84</v>
      </c>
      <c r="P57" s="6" t="s">
        <v>45</v>
      </c>
      <c r="Q57" s="6" t="s">
        <v>26</v>
      </c>
    </row>
    <row r="58" spans="1:17" ht="15.5" x14ac:dyDescent="0.35">
      <c r="A58" s="6" t="s">
        <v>270</v>
      </c>
      <c r="B58" s="7">
        <v>46163</v>
      </c>
      <c r="C58" s="7" t="s">
        <v>616</v>
      </c>
      <c r="D58" s="6" t="s">
        <v>552</v>
      </c>
      <c r="E58" s="6" t="s">
        <v>19</v>
      </c>
      <c r="F58" s="6" t="s">
        <v>119</v>
      </c>
      <c r="G58" s="6" t="s">
        <v>21</v>
      </c>
      <c r="H58" s="6" t="s">
        <v>273</v>
      </c>
      <c r="I58" s="6">
        <v>1</v>
      </c>
      <c r="J58" s="6">
        <v>27.48</v>
      </c>
      <c r="K58" s="6">
        <v>0</v>
      </c>
      <c r="L58" s="6">
        <v>27.48</v>
      </c>
      <c r="M58" s="6">
        <v>0</v>
      </c>
      <c r="N58" s="6" t="s">
        <v>53</v>
      </c>
      <c r="O58" s="6" t="s">
        <v>54</v>
      </c>
      <c r="P58" s="6" t="s">
        <v>55</v>
      </c>
      <c r="Q58" s="6" t="s">
        <v>26</v>
      </c>
    </row>
    <row r="59" spans="1:17" ht="15.5" x14ac:dyDescent="0.35">
      <c r="A59" s="6" t="s">
        <v>485</v>
      </c>
      <c r="B59" s="7">
        <v>45987</v>
      </c>
      <c r="C59" s="7" t="s">
        <v>620</v>
      </c>
      <c r="D59" s="6" t="s">
        <v>553</v>
      </c>
      <c r="E59" s="6" t="s">
        <v>113</v>
      </c>
      <c r="F59" s="6" t="s">
        <v>51</v>
      </c>
      <c r="G59" s="6" t="s">
        <v>21</v>
      </c>
      <c r="H59" s="6" t="s">
        <v>22</v>
      </c>
      <c r="I59" s="6">
        <v>5</v>
      </c>
      <c r="J59" s="6">
        <v>57.81</v>
      </c>
      <c r="K59" s="6">
        <v>0</v>
      </c>
      <c r="L59" s="6">
        <v>289.05</v>
      </c>
      <c r="M59" s="6">
        <v>0</v>
      </c>
      <c r="N59" s="6" t="s">
        <v>53</v>
      </c>
      <c r="O59" s="6" t="s">
        <v>103</v>
      </c>
      <c r="P59" s="6" t="s">
        <v>45</v>
      </c>
      <c r="Q59" s="6" t="s">
        <v>26</v>
      </c>
    </row>
    <row r="60" spans="1:17" ht="15.5" x14ac:dyDescent="0.35">
      <c r="A60" s="6" t="s">
        <v>224</v>
      </c>
      <c r="B60" s="7">
        <v>46217</v>
      </c>
      <c r="C60" s="7" t="s">
        <v>625</v>
      </c>
      <c r="D60" s="6" t="s">
        <v>226</v>
      </c>
      <c r="E60" s="6" t="s">
        <v>69</v>
      </c>
      <c r="F60" s="6" t="s">
        <v>180</v>
      </c>
      <c r="G60" s="6" t="s">
        <v>120</v>
      </c>
      <c r="H60" s="6" t="s">
        <v>227</v>
      </c>
      <c r="I60" s="6">
        <v>3</v>
      </c>
      <c r="J60" s="6">
        <v>36.65</v>
      </c>
      <c r="K60" s="6">
        <v>20</v>
      </c>
      <c r="L60" s="6">
        <v>109.95</v>
      </c>
      <c r="M60" s="6">
        <v>0</v>
      </c>
      <c r="N60" s="6" t="s">
        <v>53</v>
      </c>
      <c r="O60" s="6" t="s">
        <v>54</v>
      </c>
      <c r="P60" s="6" t="s">
        <v>138</v>
      </c>
      <c r="Q60" s="6" t="s">
        <v>26</v>
      </c>
    </row>
    <row r="61" spans="1:17" ht="15.5" x14ac:dyDescent="0.35">
      <c r="A61" s="6" t="s">
        <v>314</v>
      </c>
      <c r="B61" s="7">
        <v>46116</v>
      </c>
      <c r="C61" s="7" t="s">
        <v>622</v>
      </c>
      <c r="D61" s="6" t="s">
        <v>316</v>
      </c>
      <c r="E61" s="6" t="s">
        <v>69</v>
      </c>
      <c r="F61" s="6" t="s">
        <v>70</v>
      </c>
      <c r="G61" s="6" t="s">
        <v>21</v>
      </c>
      <c r="H61" s="6" t="s">
        <v>220</v>
      </c>
      <c r="I61" s="6">
        <v>3</v>
      </c>
      <c r="J61" s="6">
        <v>201.32</v>
      </c>
      <c r="K61" s="6">
        <v>0</v>
      </c>
      <c r="L61" s="6">
        <v>603.96</v>
      </c>
      <c r="M61" s="6">
        <v>0</v>
      </c>
      <c r="N61" s="6" t="s">
        <v>53</v>
      </c>
      <c r="O61" s="6" t="s">
        <v>78</v>
      </c>
      <c r="P61" s="6" t="s">
        <v>138</v>
      </c>
      <c r="Q61" s="6" t="s">
        <v>26</v>
      </c>
    </row>
    <row r="62" spans="1:17" ht="15.5" x14ac:dyDescent="0.35">
      <c r="A62" s="6" t="s">
        <v>356</v>
      </c>
      <c r="B62" s="7">
        <v>46261</v>
      </c>
      <c r="C62" s="7" t="s">
        <v>624</v>
      </c>
      <c r="D62" s="6" t="s">
        <v>357</v>
      </c>
      <c r="E62" s="6" t="s">
        <v>30</v>
      </c>
      <c r="F62" s="6" t="s">
        <v>126</v>
      </c>
      <c r="G62" s="6" t="s">
        <v>42</v>
      </c>
      <c r="H62" s="6" t="s">
        <v>62</v>
      </c>
      <c r="I62" s="6">
        <v>4</v>
      </c>
      <c r="J62" s="6">
        <v>226.95</v>
      </c>
      <c r="K62" s="6">
        <v>20</v>
      </c>
      <c r="L62" s="6">
        <v>907.8</v>
      </c>
      <c r="M62" s="6">
        <v>0</v>
      </c>
      <c r="N62" s="6" t="s">
        <v>53</v>
      </c>
      <c r="O62" s="6" t="s">
        <v>84</v>
      </c>
      <c r="P62" s="6" t="s">
        <v>172</v>
      </c>
      <c r="Q62" s="6" t="s">
        <v>26</v>
      </c>
    </row>
    <row r="63" spans="1:17" ht="15.5" x14ac:dyDescent="0.35">
      <c r="A63" s="6" t="s">
        <v>454</v>
      </c>
      <c r="B63" s="7">
        <v>46086</v>
      </c>
      <c r="C63" s="7" t="s">
        <v>619</v>
      </c>
      <c r="D63" s="6" t="s">
        <v>456</v>
      </c>
      <c r="E63" s="6" t="s">
        <v>113</v>
      </c>
      <c r="F63" s="6" t="s">
        <v>51</v>
      </c>
      <c r="G63" s="6" t="s">
        <v>42</v>
      </c>
      <c r="H63" s="6" t="s">
        <v>403</v>
      </c>
      <c r="I63" s="6">
        <v>6</v>
      </c>
      <c r="J63" s="6">
        <v>41.98</v>
      </c>
      <c r="K63" s="6">
        <v>0</v>
      </c>
      <c r="L63" s="6">
        <v>251.88</v>
      </c>
      <c r="M63" s="6">
        <v>0</v>
      </c>
      <c r="N63" s="6" t="s">
        <v>53</v>
      </c>
      <c r="O63" s="6" t="s">
        <v>35</v>
      </c>
      <c r="P63" s="6" t="s">
        <v>132</v>
      </c>
      <c r="Q63" s="6" t="s">
        <v>26</v>
      </c>
    </row>
    <row r="64" spans="1:17" ht="15.5" x14ac:dyDescent="0.35">
      <c r="A64" s="6" t="s">
        <v>404</v>
      </c>
      <c r="B64" s="7">
        <v>46095</v>
      </c>
      <c r="C64" s="7" t="s">
        <v>619</v>
      </c>
      <c r="D64" s="6" t="s">
        <v>406</v>
      </c>
      <c r="E64" s="6" t="s">
        <v>89</v>
      </c>
      <c r="F64" s="6" t="s">
        <v>136</v>
      </c>
      <c r="G64" s="6" t="s">
        <v>21</v>
      </c>
      <c r="H64" s="6" t="s">
        <v>22</v>
      </c>
      <c r="I64" s="6">
        <v>1</v>
      </c>
      <c r="J64" s="6">
        <v>115.18</v>
      </c>
      <c r="K64" s="6">
        <v>10</v>
      </c>
      <c r="L64" s="6">
        <v>115.18</v>
      </c>
      <c r="M64" s="6">
        <v>0</v>
      </c>
      <c r="N64" s="6" t="s">
        <v>53</v>
      </c>
      <c r="O64" s="6" t="s">
        <v>54</v>
      </c>
      <c r="P64" s="6" t="s">
        <v>45</v>
      </c>
      <c r="Q64" s="6" t="s">
        <v>26</v>
      </c>
    </row>
    <row r="65" spans="1:17" ht="15.5" x14ac:dyDescent="0.35">
      <c r="A65" s="6" t="s">
        <v>463</v>
      </c>
      <c r="B65" s="7">
        <v>45957</v>
      </c>
      <c r="C65" s="7" t="s">
        <v>617</v>
      </c>
      <c r="D65" s="6" t="s">
        <v>465</v>
      </c>
      <c r="E65" s="6" t="s">
        <v>19</v>
      </c>
      <c r="F65" s="6" t="s">
        <v>20</v>
      </c>
      <c r="G65" s="6" t="s">
        <v>42</v>
      </c>
      <c r="H65" s="6" t="s">
        <v>308</v>
      </c>
      <c r="I65" s="6">
        <v>5</v>
      </c>
      <c r="J65" s="6">
        <v>99.92</v>
      </c>
      <c r="K65" s="6">
        <v>15</v>
      </c>
      <c r="L65" s="6">
        <v>499.6</v>
      </c>
      <c r="M65" s="6">
        <v>24.18</v>
      </c>
      <c r="N65" s="6" t="s">
        <v>63</v>
      </c>
      <c r="O65" s="6" t="s">
        <v>152</v>
      </c>
      <c r="P65" s="6" t="s">
        <v>55</v>
      </c>
      <c r="Q65" s="6" t="s">
        <v>26</v>
      </c>
    </row>
    <row r="66" spans="1:17" ht="15.5" x14ac:dyDescent="0.35">
      <c r="A66" s="6" t="s">
        <v>394</v>
      </c>
      <c r="B66" s="7">
        <v>45996</v>
      </c>
      <c r="C66" s="7" t="s">
        <v>626</v>
      </c>
      <c r="D66" s="6" t="s">
        <v>396</v>
      </c>
      <c r="E66" s="6" t="s">
        <v>30</v>
      </c>
      <c r="F66" s="6" t="s">
        <v>202</v>
      </c>
      <c r="G66" s="6" t="s">
        <v>32</v>
      </c>
      <c r="H66" s="6" t="s">
        <v>157</v>
      </c>
      <c r="I66" s="6">
        <v>2</v>
      </c>
      <c r="J66" s="6">
        <v>80.849999999999994</v>
      </c>
      <c r="K66" s="6">
        <v>0</v>
      </c>
      <c r="L66" s="6">
        <v>161.69999999999999</v>
      </c>
      <c r="M66" s="6">
        <v>6.93</v>
      </c>
      <c r="N66" s="6" t="s">
        <v>63</v>
      </c>
      <c r="O66" s="6" t="s">
        <v>24</v>
      </c>
      <c r="P66" s="6" t="s">
        <v>45</v>
      </c>
      <c r="Q66" s="6" t="s">
        <v>26</v>
      </c>
    </row>
    <row r="67" spans="1:17" ht="15.5" x14ac:dyDescent="0.35">
      <c r="A67" s="6" t="s">
        <v>27</v>
      </c>
      <c r="B67" s="7">
        <v>46236</v>
      </c>
      <c r="C67" s="7" t="s">
        <v>624</v>
      </c>
      <c r="D67" s="6" t="s">
        <v>29</v>
      </c>
      <c r="E67" s="6" t="s">
        <v>30</v>
      </c>
      <c r="F67" s="6" t="s">
        <v>31</v>
      </c>
      <c r="G67" s="6" t="s">
        <v>32</v>
      </c>
      <c r="H67" s="6" t="s">
        <v>33</v>
      </c>
      <c r="I67" s="6">
        <v>1</v>
      </c>
      <c r="J67" s="6">
        <v>167.17</v>
      </c>
      <c r="K67" s="6">
        <v>0</v>
      </c>
      <c r="L67" s="6">
        <v>167.17</v>
      </c>
      <c r="M67" s="6">
        <v>17.559999999999999</v>
      </c>
      <c r="N67" s="6" t="s">
        <v>63</v>
      </c>
      <c r="O67" s="6" t="s">
        <v>35</v>
      </c>
      <c r="P67" s="6" t="s">
        <v>55</v>
      </c>
      <c r="Q67" s="6" t="s">
        <v>26</v>
      </c>
    </row>
    <row r="68" spans="1:17" ht="15.5" x14ac:dyDescent="0.35">
      <c r="A68" s="6" t="s">
        <v>37</v>
      </c>
      <c r="B68" s="7">
        <v>46223</v>
      </c>
      <c r="C68" s="7" t="s">
        <v>625</v>
      </c>
      <c r="D68" s="6" t="s">
        <v>39</v>
      </c>
      <c r="E68" s="6" t="s">
        <v>113</v>
      </c>
      <c r="F68" s="6" t="s">
        <v>41</v>
      </c>
      <c r="G68" s="6" t="s">
        <v>42</v>
      </c>
      <c r="H68" s="6" t="s">
        <v>43</v>
      </c>
      <c r="I68" s="6">
        <v>8</v>
      </c>
      <c r="J68" s="6">
        <v>226.47</v>
      </c>
      <c r="K68" s="6">
        <v>0</v>
      </c>
      <c r="L68" s="6">
        <v>1811.76</v>
      </c>
      <c r="M68" s="6">
        <v>0</v>
      </c>
      <c r="N68" s="6" t="s">
        <v>53</v>
      </c>
      <c r="O68" s="6" t="s">
        <v>44</v>
      </c>
      <c r="P68" s="6" t="s">
        <v>45</v>
      </c>
      <c r="Q68" s="6" t="s">
        <v>26</v>
      </c>
    </row>
    <row r="69" spans="1:17" ht="15.5" x14ac:dyDescent="0.35">
      <c r="A69" s="6" t="s">
        <v>431</v>
      </c>
      <c r="B69" s="7">
        <v>46193</v>
      </c>
      <c r="C69" s="7" t="s">
        <v>623</v>
      </c>
      <c r="D69" s="6" t="s">
        <v>433</v>
      </c>
      <c r="E69" s="6" t="s">
        <v>113</v>
      </c>
      <c r="F69" s="6" t="s">
        <v>51</v>
      </c>
      <c r="G69" s="6" t="s">
        <v>42</v>
      </c>
      <c r="H69" s="6" t="s">
        <v>62</v>
      </c>
      <c r="I69" s="6">
        <v>2</v>
      </c>
      <c r="J69" s="6">
        <v>74.84</v>
      </c>
      <c r="K69" s="6">
        <v>0</v>
      </c>
      <c r="L69" s="6">
        <v>149.68</v>
      </c>
      <c r="M69" s="6">
        <v>10.6</v>
      </c>
      <c r="N69" s="6" t="s">
        <v>63</v>
      </c>
      <c r="O69" s="6" t="s">
        <v>44</v>
      </c>
      <c r="P69" s="6" t="s">
        <v>55</v>
      </c>
      <c r="Q69" s="6" t="s">
        <v>26</v>
      </c>
    </row>
    <row r="70" spans="1:17" ht="15.5" x14ac:dyDescent="0.35">
      <c r="A70" s="6" t="s">
        <v>186</v>
      </c>
      <c r="B70" s="7">
        <v>46160</v>
      </c>
      <c r="C70" s="7" t="s">
        <v>616</v>
      </c>
      <c r="D70" s="6" t="s">
        <v>564</v>
      </c>
      <c r="E70" s="6" t="s">
        <v>89</v>
      </c>
      <c r="F70" s="6" t="s">
        <v>90</v>
      </c>
      <c r="G70" s="6" t="s">
        <v>71</v>
      </c>
      <c r="H70" s="6" t="s">
        <v>114</v>
      </c>
      <c r="I70" s="6">
        <v>8</v>
      </c>
      <c r="J70" s="6">
        <v>175.54</v>
      </c>
      <c r="K70" s="6">
        <v>10</v>
      </c>
      <c r="L70" s="6">
        <v>1404.32</v>
      </c>
      <c r="M70" s="6">
        <v>0</v>
      </c>
      <c r="N70" s="6" t="s">
        <v>53</v>
      </c>
      <c r="O70" s="6" t="s">
        <v>98</v>
      </c>
      <c r="P70" s="6" t="s">
        <v>138</v>
      </c>
      <c r="Q70" s="6" t="s">
        <v>146</v>
      </c>
    </row>
    <row r="71" spans="1:17" ht="15.5" x14ac:dyDescent="0.35">
      <c r="A71" s="6" t="s">
        <v>421</v>
      </c>
      <c r="B71" s="7">
        <v>46054</v>
      </c>
      <c r="C71" s="7" t="s">
        <v>621</v>
      </c>
      <c r="D71" s="6" t="s">
        <v>423</v>
      </c>
      <c r="E71" s="6" t="s">
        <v>30</v>
      </c>
      <c r="F71" s="6" t="s">
        <v>126</v>
      </c>
      <c r="G71" s="6" t="s">
        <v>42</v>
      </c>
      <c r="H71" s="6" t="s">
        <v>575</v>
      </c>
      <c r="I71" s="6">
        <v>8</v>
      </c>
      <c r="J71" s="6">
        <v>151.19999999999999</v>
      </c>
      <c r="K71" s="6">
        <v>0</v>
      </c>
      <c r="L71" s="8">
        <v>1209.5999999999999</v>
      </c>
      <c r="M71" s="6">
        <v>0</v>
      </c>
      <c r="N71" s="6" t="s">
        <v>53</v>
      </c>
      <c r="O71" s="6" t="s">
        <v>44</v>
      </c>
      <c r="P71" s="6" t="s">
        <v>172</v>
      </c>
      <c r="Q71" s="6" t="s">
        <v>26</v>
      </c>
    </row>
    <row r="72" spans="1:17" ht="15.5" x14ac:dyDescent="0.35">
      <c r="A72" s="6" t="s">
        <v>457</v>
      </c>
      <c r="B72" s="7">
        <v>46122</v>
      </c>
      <c r="C72" s="7" t="s">
        <v>622</v>
      </c>
      <c r="D72" s="6" t="s">
        <v>459</v>
      </c>
      <c r="E72" s="6" t="s">
        <v>19</v>
      </c>
      <c r="F72" s="6" t="s">
        <v>20</v>
      </c>
      <c r="G72" s="6" t="s">
        <v>42</v>
      </c>
      <c r="H72" s="6" t="s">
        <v>185</v>
      </c>
      <c r="I72" s="6">
        <v>7</v>
      </c>
      <c r="J72" s="6">
        <v>218.97</v>
      </c>
      <c r="K72" s="6">
        <v>20</v>
      </c>
      <c r="L72" s="6">
        <v>1532.79</v>
      </c>
      <c r="M72" s="6">
        <v>19.399999999999999</v>
      </c>
      <c r="N72" s="6" t="s">
        <v>63</v>
      </c>
      <c r="O72" s="6" t="s">
        <v>54</v>
      </c>
      <c r="P72" s="6" t="s">
        <v>132</v>
      </c>
      <c r="Q72" s="6" t="s">
        <v>92</v>
      </c>
    </row>
    <row r="73" spans="1:17" ht="15.5" x14ac:dyDescent="0.35">
      <c r="A73" s="6" t="s">
        <v>287</v>
      </c>
      <c r="B73" s="7">
        <v>46357</v>
      </c>
      <c r="C73" s="7" t="s">
        <v>627</v>
      </c>
      <c r="D73" s="6" t="s">
        <v>289</v>
      </c>
      <c r="E73" s="6" t="s">
        <v>30</v>
      </c>
      <c r="F73" s="6" t="s">
        <v>31</v>
      </c>
      <c r="G73" s="6" t="s">
        <v>21</v>
      </c>
      <c r="H73" s="6" t="s">
        <v>290</v>
      </c>
      <c r="I73" s="6">
        <v>2</v>
      </c>
      <c r="J73" s="6">
        <v>180.43</v>
      </c>
      <c r="K73" s="6">
        <v>5</v>
      </c>
      <c r="L73" s="6">
        <v>360.86</v>
      </c>
      <c r="M73" s="6">
        <v>0</v>
      </c>
      <c r="N73" s="6" t="s">
        <v>53</v>
      </c>
      <c r="O73" s="6" t="s">
        <v>78</v>
      </c>
      <c r="P73" s="6" t="s">
        <v>172</v>
      </c>
      <c r="Q73" s="6" t="s">
        <v>146</v>
      </c>
    </row>
    <row r="74" spans="1:17" ht="15.5" x14ac:dyDescent="0.35">
      <c r="A74" s="6" t="s">
        <v>397</v>
      </c>
      <c r="B74" s="7">
        <v>46128</v>
      </c>
      <c r="C74" s="7" t="s">
        <v>622</v>
      </c>
      <c r="D74" s="6" t="s">
        <v>399</v>
      </c>
      <c r="E74" s="6" t="s">
        <v>89</v>
      </c>
      <c r="F74" s="6" t="s">
        <v>136</v>
      </c>
      <c r="G74" s="6" t="s">
        <v>32</v>
      </c>
      <c r="H74" s="6" t="s">
        <v>33</v>
      </c>
      <c r="I74" s="6">
        <v>7</v>
      </c>
      <c r="J74" s="6">
        <v>222.92</v>
      </c>
      <c r="K74" s="6">
        <v>20</v>
      </c>
      <c r="L74" s="6">
        <v>1560.44</v>
      </c>
      <c r="M74" s="6">
        <v>0</v>
      </c>
      <c r="N74" s="6" t="s">
        <v>53</v>
      </c>
      <c r="O74" s="6" t="s">
        <v>152</v>
      </c>
      <c r="P74" s="6" t="s">
        <v>55</v>
      </c>
      <c r="Q74" s="6" t="s">
        <v>56</v>
      </c>
    </row>
    <row r="75" spans="1:17" ht="15.5" x14ac:dyDescent="0.35">
      <c r="A75" s="6" t="s">
        <v>317</v>
      </c>
      <c r="B75" s="7">
        <v>46158</v>
      </c>
      <c r="C75" s="7" t="s">
        <v>616</v>
      </c>
      <c r="D75" s="6" t="s">
        <v>319</v>
      </c>
      <c r="E75" s="6" t="s">
        <v>30</v>
      </c>
      <c r="F75" s="6" t="s">
        <v>202</v>
      </c>
      <c r="G75" s="6" t="s">
        <v>32</v>
      </c>
      <c r="H75" s="6" t="s">
        <v>33</v>
      </c>
      <c r="I75" s="6">
        <v>5</v>
      </c>
      <c r="J75" s="6">
        <v>80.09</v>
      </c>
      <c r="K75" s="6">
        <v>0</v>
      </c>
      <c r="L75" s="6">
        <v>400.45</v>
      </c>
      <c r="M75" s="6">
        <v>0</v>
      </c>
      <c r="N75" s="6" t="s">
        <v>53</v>
      </c>
      <c r="O75" s="6" t="s">
        <v>44</v>
      </c>
      <c r="P75" s="6" t="s">
        <v>55</v>
      </c>
      <c r="Q75" s="6" t="s">
        <v>26</v>
      </c>
    </row>
    <row r="76" spans="1:17" ht="15.5" x14ac:dyDescent="0.35">
      <c r="A76" s="6" t="s">
        <v>231</v>
      </c>
      <c r="B76" s="7">
        <v>46118</v>
      </c>
      <c r="C76" s="7" t="s">
        <v>622</v>
      </c>
      <c r="D76" s="6" t="s">
        <v>233</v>
      </c>
      <c r="E76" s="6" t="s">
        <v>19</v>
      </c>
      <c r="F76" s="6" t="s">
        <v>108</v>
      </c>
      <c r="G76" s="6" t="s">
        <v>71</v>
      </c>
      <c r="H76" s="6" t="s">
        <v>570</v>
      </c>
      <c r="I76" s="6">
        <v>8</v>
      </c>
      <c r="J76" s="6">
        <v>13.53</v>
      </c>
      <c r="K76" s="6">
        <v>0</v>
      </c>
      <c r="L76" s="6">
        <v>108.24</v>
      </c>
      <c r="M76" s="6">
        <v>0</v>
      </c>
      <c r="N76" s="6" t="s">
        <v>53</v>
      </c>
      <c r="O76" s="6" t="s">
        <v>35</v>
      </c>
      <c r="P76" s="6" t="s">
        <v>55</v>
      </c>
      <c r="Q76" s="6" t="s">
        <v>26</v>
      </c>
    </row>
    <row r="77" spans="1:17" ht="15.5" x14ac:dyDescent="0.35">
      <c r="A77" s="6" t="s">
        <v>256</v>
      </c>
      <c r="B77" s="7">
        <v>46218</v>
      </c>
      <c r="C77" s="7" t="s">
        <v>625</v>
      </c>
      <c r="D77" s="6" t="s">
        <v>258</v>
      </c>
      <c r="E77" s="6" t="s">
        <v>113</v>
      </c>
      <c r="F77" s="6" t="s">
        <v>61</v>
      </c>
      <c r="G77" s="6" t="s">
        <v>32</v>
      </c>
      <c r="H77" s="6" t="s">
        <v>91</v>
      </c>
      <c r="I77" s="6">
        <v>1</v>
      </c>
      <c r="J77" s="6">
        <v>185.24</v>
      </c>
      <c r="K77" s="6">
        <v>15</v>
      </c>
      <c r="L77" s="6">
        <v>185.24</v>
      </c>
      <c r="M77" s="6">
        <v>0</v>
      </c>
      <c r="N77" s="6" t="s">
        <v>53</v>
      </c>
      <c r="O77" s="6" t="s">
        <v>152</v>
      </c>
      <c r="P77" s="6" t="s">
        <v>138</v>
      </c>
      <c r="Q77" s="6" t="s">
        <v>26</v>
      </c>
    </row>
    <row r="78" spans="1:17" ht="15.5" x14ac:dyDescent="0.35">
      <c r="A78" s="6" t="s">
        <v>370</v>
      </c>
      <c r="B78" s="7">
        <v>46079</v>
      </c>
      <c r="C78" s="7" t="s">
        <v>621</v>
      </c>
      <c r="D78" s="6" t="s">
        <v>372</v>
      </c>
      <c r="E78" s="6" t="s">
        <v>113</v>
      </c>
      <c r="F78" s="6" t="s">
        <v>41</v>
      </c>
      <c r="G78" s="6" t="s">
        <v>21</v>
      </c>
      <c r="H78" s="6" t="s">
        <v>273</v>
      </c>
      <c r="I78" s="6">
        <v>6</v>
      </c>
      <c r="J78" s="6">
        <v>168.62</v>
      </c>
      <c r="K78" s="6">
        <v>0</v>
      </c>
      <c r="L78" s="6">
        <v>1011.72</v>
      </c>
      <c r="M78" s="6">
        <v>7.44</v>
      </c>
      <c r="N78" s="6" t="s">
        <v>63</v>
      </c>
      <c r="O78" s="6" t="s">
        <v>54</v>
      </c>
      <c r="P78" s="6" t="s">
        <v>132</v>
      </c>
      <c r="Q78" s="6" t="s">
        <v>146</v>
      </c>
    </row>
    <row r="79" spans="1:17" ht="15.5" x14ac:dyDescent="0.35">
      <c r="A79" s="6" t="s">
        <v>74</v>
      </c>
      <c r="B79" s="7">
        <v>46140</v>
      </c>
      <c r="C79" s="7" t="s">
        <v>622</v>
      </c>
      <c r="D79" s="6" t="s">
        <v>76</v>
      </c>
      <c r="E79" s="6" t="s">
        <v>113</v>
      </c>
      <c r="F79" s="6" t="s">
        <v>51</v>
      </c>
      <c r="G79" s="6" t="s">
        <v>42</v>
      </c>
      <c r="H79" s="6" t="s">
        <v>62</v>
      </c>
      <c r="I79" s="6">
        <v>7</v>
      </c>
      <c r="J79" s="6">
        <v>249.9</v>
      </c>
      <c r="K79" s="6">
        <v>0</v>
      </c>
      <c r="L79" s="6">
        <v>1749.3</v>
      </c>
      <c r="M79" s="6">
        <v>0</v>
      </c>
      <c r="N79" s="6" t="s">
        <v>53</v>
      </c>
      <c r="O79" s="6" t="s">
        <v>78</v>
      </c>
      <c r="P79" s="6" t="s">
        <v>138</v>
      </c>
      <c r="Q79" s="6" t="s">
        <v>26</v>
      </c>
    </row>
    <row r="80" spans="1:17" ht="15.5" x14ac:dyDescent="0.35">
      <c r="A80" s="6" t="s">
        <v>476</v>
      </c>
      <c r="B80" s="7">
        <v>46046</v>
      </c>
      <c r="C80" s="7" t="s">
        <v>618</v>
      </c>
      <c r="D80" s="6" t="s">
        <v>478</v>
      </c>
      <c r="E80" s="6" t="s">
        <v>30</v>
      </c>
      <c r="F80" s="6" t="s">
        <v>202</v>
      </c>
      <c r="G80" s="6" t="s">
        <v>42</v>
      </c>
      <c r="H80" s="6" t="s">
        <v>572</v>
      </c>
      <c r="I80" s="6">
        <v>3</v>
      </c>
      <c r="J80" s="6">
        <v>79.510000000000005</v>
      </c>
      <c r="K80" s="6">
        <v>0</v>
      </c>
      <c r="L80" s="6">
        <v>238.53</v>
      </c>
      <c r="M80" s="6">
        <v>8.9600000000000009</v>
      </c>
      <c r="N80" s="6" t="s">
        <v>63</v>
      </c>
      <c r="O80" s="6" t="s">
        <v>78</v>
      </c>
      <c r="P80" s="6" t="s">
        <v>55</v>
      </c>
      <c r="Q80" s="6" t="s">
        <v>56</v>
      </c>
    </row>
    <row r="81" spans="1:17" ht="15.5" x14ac:dyDescent="0.35">
      <c r="A81" s="6" t="s">
        <v>473</v>
      </c>
      <c r="B81" s="7">
        <v>45945</v>
      </c>
      <c r="C81" s="7" t="s">
        <v>617</v>
      </c>
      <c r="D81" s="6" t="s">
        <v>475</v>
      </c>
      <c r="E81" s="6" t="s">
        <v>19</v>
      </c>
      <c r="F81" s="6" t="s">
        <v>20</v>
      </c>
      <c r="G81" s="6" t="s">
        <v>71</v>
      </c>
      <c r="H81" s="6" t="s">
        <v>237</v>
      </c>
      <c r="I81" s="6">
        <v>6</v>
      </c>
      <c r="J81" s="6">
        <v>211.42</v>
      </c>
      <c r="K81" s="6">
        <v>20</v>
      </c>
      <c r="L81" s="6">
        <v>1268.52</v>
      </c>
      <c r="M81" s="6">
        <v>0</v>
      </c>
      <c r="N81" s="6" t="s">
        <v>53</v>
      </c>
      <c r="O81" s="6" t="s">
        <v>115</v>
      </c>
      <c r="P81" s="6" t="s">
        <v>138</v>
      </c>
      <c r="Q81" s="6" t="s">
        <v>26</v>
      </c>
    </row>
    <row r="82" spans="1:17" ht="15.5" x14ac:dyDescent="0.35">
      <c r="A82" s="6" t="s">
        <v>425</v>
      </c>
      <c r="B82" s="7">
        <v>46156</v>
      </c>
      <c r="C82" s="7" t="s">
        <v>616</v>
      </c>
      <c r="D82" s="6" t="s">
        <v>554</v>
      </c>
      <c r="E82" s="6" t="s">
        <v>19</v>
      </c>
      <c r="F82" s="6" t="s">
        <v>20</v>
      </c>
      <c r="G82" s="6" t="s">
        <v>32</v>
      </c>
      <c r="H82" s="6" t="s">
        <v>277</v>
      </c>
      <c r="I82" s="6">
        <v>7</v>
      </c>
      <c r="J82" s="6">
        <v>77.87</v>
      </c>
      <c r="K82" s="6">
        <v>15</v>
      </c>
      <c r="L82" s="6">
        <v>545.09</v>
      </c>
      <c r="M82" s="6">
        <v>0</v>
      </c>
      <c r="N82" s="6" t="s">
        <v>53</v>
      </c>
      <c r="O82" s="6" t="s">
        <v>24</v>
      </c>
      <c r="P82" s="6" t="s">
        <v>45</v>
      </c>
      <c r="Q82" s="6" t="s">
        <v>26</v>
      </c>
    </row>
    <row r="83" spans="1:17" ht="15.5" x14ac:dyDescent="0.35">
      <c r="A83" s="6" t="s">
        <v>221</v>
      </c>
      <c r="B83" s="7">
        <v>46127</v>
      </c>
      <c r="C83" s="7" t="s">
        <v>622</v>
      </c>
      <c r="D83" s="6" t="s">
        <v>223</v>
      </c>
      <c r="E83" s="6" t="s">
        <v>19</v>
      </c>
      <c r="F83" s="6" t="s">
        <v>119</v>
      </c>
      <c r="G83" s="6" t="s">
        <v>32</v>
      </c>
      <c r="H83" s="6" t="s">
        <v>91</v>
      </c>
      <c r="I83" s="6">
        <v>5</v>
      </c>
      <c r="J83" s="6">
        <v>115.15</v>
      </c>
      <c r="K83" s="6">
        <v>0</v>
      </c>
      <c r="L83" s="6">
        <v>575.75</v>
      </c>
      <c r="M83" s="6">
        <v>0</v>
      </c>
      <c r="N83" s="6" t="s">
        <v>53</v>
      </c>
      <c r="O83" s="6" t="s">
        <v>24</v>
      </c>
      <c r="P83" s="6" t="s">
        <v>172</v>
      </c>
      <c r="Q83" s="6" t="s">
        <v>56</v>
      </c>
    </row>
    <row r="84" spans="1:17" ht="15.5" x14ac:dyDescent="0.35">
      <c r="A84" s="6" t="s">
        <v>468</v>
      </c>
      <c r="B84" s="7">
        <v>46332</v>
      </c>
      <c r="C84" s="7" t="s">
        <v>628</v>
      </c>
      <c r="D84" s="6" t="s">
        <v>470</v>
      </c>
      <c r="E84" s="6" t="s">
        <v>113</v>
      </c>
      <c r="F84" s="6" t="s">
        <v>51</v>
      </c>
      <c r="G84" s="6" t="s">
        <v>120</v>
      </c>
      <c r="H84" s="6" t="s">
        <v>137</v>
      </c>
      <c r="I84" s="6">
        <v>4</v>
      </c>
      <c r="J84" s="6">
        <v>57.71</v>
      </c>
      <c r="K84" s="6">
        <v>20</v>
      </c>
      <c r="L84" s="6">
        <v>230.84</v>
      </c>
      <c r="M84" s="6">
        <v>0</v>
      </c>
      <c r="N84" s="6" t="s">
        <v>53</v>
      </c>
      <c r="O84" s="6" t="s">
        <v>24</v>
      </c>
      <c r="P84" s="6" t="s">
        <v>132</v>
      </c>
      <c r="Q84" s="6" t="s">
        <v>26</v>
      </c>
    </row>
    <row r="85" spans="1:17" ht="15.5" x14ac:dyDescent="0.35">
      <c r="A85" s="6" t="s">
        <v>139</v>
      </c>
      <c r="B85" s="7">
        <v>46243</v>
      </c>
      <c r="C85" s="7" t="s">
        <v>624</v>
      </c>
      <c r="D85" s="6" t="s">
        <v>558</v>
      </c>
      <c r="E85" s="6" t="s">
        <v>69</v>
      </c>
      <c r="F85" s="6" t="s">
        <v>82</v>
      </c>
      <c r="G85" s="6" t="s">
        <v>32</v>
      </c>
      <c r="H85" s="6" t="s">
        <v>33</v>
      </c>
      <c r="I85" s="6">
        <v>8</v>
      </c>
      <c r="J85" s="6">
        <v>192.28</v>
      </c>
      <c r="K85" s="6">
        <v>20</v>
      </c>
      <c r="L85" s="6">
        <v>1538.24</v>
      </c>
      <c r="M85" s="6">
        <v>0</v>
      </c>
      <c r="N85" s="6" t="s">
        <v>53</v>
      </c>
      <c r="O85" s="6" t="s">
        <v>24</v>
      </c>
      <c r="P85" s="6" t="s">
        <v>138</v>
      </c>
      <c r="Q85" s="6" t="s">
        <v>26</v>
      </c>
    </row>
    <row r="86" spans="1:17" ht="15.5" x14ac:dyDescent="0.35">
      <c r="A86" s="6" t="s">
        <v>537</v>
      </c>
      <c r="B86" s="7">
        <v>46244</v>
      </c>
      <c r="C86" s="7" t="s">
        <v>624</v>
      </c>
      <c r="D86" s="6" t="s">
        <v>565</v>
      </c>
      <c r="E86" s="6" t="s">
        <v>89</v>
      </c>
      <c r="F86" s="6" t="s">
        <v>136</v>
      </c>
      <c r="G86" s="6" t="s">
        <v>32</v>
      </c>
      <c r="H86" s="6" t="s">
        <v>277</v>
      </c>
      <c r="I86" s="6">
        <v>3</v>
      </c>
      <c r="J86" s="6">
        <v>153.53</v>
      </c>
      <c r="K86" s="6">
        <v>10</v>
      </c>
      <c r="L86" s="6">
        <v>460.59</v>
      </c>
      <c r="M86" s="6">
        <v>0</v>
      </c>
      <c r="N86" s="6" t="s">
        <v>53</v>
      </c>
      <c r="O86" s="6" t="s">
        <v>24</v>
      </c>
      <c r="P86" s="6" t="s">
        <v>172</v>
      </c>
      <c r="Q86" s="6" t="s">
        <v>26</v>
      </c>
    </row>
    <row r="87" spans="1:17" ht="15.5" x14ac:dyDescent="0.35">
      <c r="A87" s="6" t="s">
        <v>321</v>
      </c>
      <c r="B87" s="7">
        <v>45944</v>
      </c>
      <c r="C87" s="7" t="s">
        <v>617</v>
      </c>
      <c r="D87" s="6" t="s">
        <v>323</v>
      </c>
      <c r="E87" s="6" t="s">
        <v>89</v>
      </c>
      <c r="F87" s="6" t="s">
        <v>166</v>
      </c>
      <c r="G87" s="6" t="s">
        <v>32</v>
      </c>
      <c r="H87" s="6" t="s">
        <v>33</v>
      </c>
      <c r="I87" s="6">
        <v>5</v>
      </c>
      <c r="J87" s="6">
        <v>200.2</v>
      </c>
      <c r="K87" s="6">
        <v>15</v>
      </c>
      <c r="L87" s="6">
        <v>1001</v>
      </c>
      <c r="M87" s="6">
        <v>0</v>
      </c>
      <c r="N87" s="6" t="s">
        <v>53</v>
      </c>
      <c r="O87" s="6" t="s">
        <v>115</v>
      </c>
      <c r="P87" s="6" t="s">
        <v>45</v>
      </c>
      <c r="Q87" s="6" t="s">
        <v>26</v>
      </c>
    </row>
    <row r="88" spans="1:17" ht="15.5" x14ac:dyDescent="0.35">
      <c r="A88" s="6" t="s">
        <v>99</v>
      </c>
      <c r="B88" s="7">
        <v>46142</v>
      </c>
      <c r="C88" s="7" t="s">
        <v>622</v>
      </c>
      <c r="D88" s="6" t="s">
        <v>101</v>
      </c>
      <c r="E88" s="6" t="s">
        <v>113</v>
      </c>
      <c r="F88" s="6" t="s">
        <v>41</v>
      </c>
      <c r="G88" s="6" t="s">
        <v>71</v>
      </c>
      <c r="H88" s="6" t="s">
        <v>570</v>
      </c>
      <c r="I88" s="6">
        <v>2</v>
      </c>
      <c r="J88" s="6">
        <v>51.74</v>
      </c>
      <c r="K88" s="6">
        <v>15</v>
      </c>
      <c r="L88" s="6">
        <v>103.48</v>
      </c>
      <c r="M88" s="6">
        <v>0</v>
      </c>
      <c r="N88" s="6" t="s">
        <v>53</v>
      </c>
      <c r="O88" s="6" t="s">
        <v>103</v>
      </c>
      <c r="P88" s="6" t="s">
        <v>172</v>
      </c>
      <c r="Q88" s="6" t="s">
        <v>26</v>
      </c>
    </row>
    <row r="89" spans="1:17" ht="15.5" x14ac:dyDescent="0.35">
      <c r="A89" s="6" t="s">
        <v>147</v>
      </c>
      <c r="B89" s="7">
        <v>46260</v>
      </c>
      <c r="C89" s="7" t="s">
        <v>624</v>
      </c>
      <c r="D89" s="6" t="s">
        <v>149</v>
      </c>
      <c r="E89" s="6" t="s">
        <v>19</v>
      </c>
      <c r="F89" s="6" t="s">
        <v>20</v>
      </c>
      <c r="G89" s="6" t="s">
        <v>32</v>
      </c>
      <c r="H89" s="6" t="s">
        <v>151</v>
      </c>
      <c r="I89" s="6">
        <v>6</v>
      </c>
      <c r="J89" s="6">
        <v>138.84</v>
      </c>
      <c r="K89" s="6">
        <v>0</v>
      </c>
      <c r="L89" s="6">
        <v>833.04</v>
      </c>
      <c r="M89" s="6">
        <v>0</v>
      </c>
      <c r="N89" s="6" t="s">
        <v>53</v>
      </c>
      <c r="O89" s="6" t="s">
        <v>152</v>
      </c>
      <c r="P89" s="6" t="s">
        <v>132</v>
      </c>
      <c r="Q89" s="6" t="s">
        <v>26</v>
      </c>
    </row>
    <row r="90" spans="1:17" ht="15.5" x14ac:dyDescent="0.35">
      <c r="A90" s="6" t="s">
        <v>47</v>
      </c>
      <c r="B90" s="7">
        <v>46133</v>
      </c>
      <c r="C90" s="7" t="s">
        <v>622</v>
      </c>
      <c r="D90" s="6" t="s">
        <v>49</v>
      </c>
      <c r="E90" s="6" t="s">
        <v>113</v>
      </c>
      <c r="F90" s="6" t="s">
        <v>51</v>
      </c>
      <c r="G90" s="6" t="s">
        <v>21</v>
      </c>
      <c r="H90" s="6" t="s">
        <v>52</v>
      </c>
      <c r="I90" s="6">
        <v>5</v>
      </c>
      <c r="J90" s="6">
        <v>75.510000000000005</v>
      </c>
      <c r="K90" s="6">
        <v>0</v>
      </c>
      <c r="L90" s="6">
        <v>377.55</v>
      </c>
      <c r="M90" s="6">
        <v>0</v>
      </c>
      <c r="N90" s="6" t="s">
        <v>53</v>
      </c>
      <c r="O90" s="6" t="s">
        <v>54</v>
      </c>
      <c r="P90" s="6" t="s">
        <v>55</v>
      </c>
      <c r="Q90" s="6" t="s">
        <v>56</v>
      </c>
    </row>
    <row r="91" spans="1:17" ht="15.5" x14ac:dyDescent="0.35">
      <c r="A91" s="6" t="s">
        <v>278</v>
      </c>
      <c r="B91" s="7">
        <v>46257</v>
      </c>
      <c r="C91" s="7" t="s">
        <v>624</v>
      </c>
      <c r="D91" s="6" t="s">
        <v>280</v>
      </c>
      <c r="E91" s="6" t="s">
        <v>19</v>
      </c>
      <c r="F91" s="6" t="s">
        <v>20</v>
      </c>
      <c r="G91" s="6" t="s">
        <v>42</v>
      </c>
      <c r="H91" s="6" t="s">
        <v>241</v>
      </c>
      <c r="I91" s="6">
        <v>4</v>
      </c>
      <c r="J91" s="6">
        <v>64.400000000000006</v>
      </c>
      <c r="K91" s="6">
        <v>0</v>
      </c>
      <c r="L91" s="6">
        <v>257.60000000000002</v>
      </c>
      <c r="M91" s="6">
        <v>24.49</v>
      </c>
      <c r="N91" s="6" t="s">
        <v>63</v>
      </c>
      <c r="O91" s="6" t="s">
        <v>84</v>
      </c>
      <c r="P91" s="6" t="s">
        <v>172</v>
      </c>
      <c r="Q91" s="6" t="s">
        <v>26</v>
      </c>
    </row>
    <row r="92" spans="1:17" ht="15.5" x14ac:dyDescent="0.35">
      <c r="A92" s="6" t="s">
        <v>499</v>
      </c>
      <c r="B92" s="7">
        <v>46204</v>
      </c>
      <c r="C92" s="7" t="s">
        <v>625</v>
      </c>
      <c r="D92" s="6" t="s">
        <v>501</v>
      </c>
      <c r="E92" s="6" t="s">
        <v>113</v>
      </c>
      <c r="F92" s="6" t="s">
        <v>61</v>
      </c>
      <c r="G92" s="6" t="s">
        <v>71</v>
      </c>
      <c r="H92" s="6" t="s">
        <v>502</v>
      </c>
      <c r="I92" s="6">
        <v>1</v>
      </c>
      <c r="J92" s="6">
        <v>227.44</v>
      </c>
      <c r="K92" s="6">
        <v>20</v>
      </c>
      <c r="L92" s="6">
        <v>227.44</v>
      </c>
      <c r="M92" s="6">
        <v>23.54</v>
      </c>
      <c r="N92" s="6" t="s">
        <v>63</v>
      </c>
      <c r="O92" s="6" t="s">
        <v>44</v>
      </c>
      <c r="P92" s="6" t="s">
        <v>138</v>
      </c>
      <c r="Q92" s="6" t="s">
        <v>146</v>
      </c>
    </row>
    <row r="93" spans="1:17" ht="15.5" x14ac:dyDescent="0.35">
      <c r="A93" s="6" t="s">
        <v>416</v>
      </c>
      <c r="B93" s="7">
        <v>46070</v>
      </c>
      <c r="C93" s="7" t="s">
        <v>621</v>
      </c>
      <c r="D93" s="6" t="s">
        <v>559</v>
      </c>
      <c r="E93" s="6" t="s">
        <v>19</v>
      </c>
      <c r="F93" s="6" t="s">
        <v>20</v>
      </c>
      <c r="G93" s="6" t="s">
        <v>32</v>
      </c>
      <c r="H93" s="6" t="s">
        <v>109</v>
      </c>
      <c r="I93" s="6">
        <v>8</v>
      </c>
      <c r="J93" s="6">
        <v>222.87</v>
      </c>
      <c r="K93" s="6">
        <v>15</v>
      </c>
      <c r="L93" s="6">
        <v>1782.96</v>
      </c>
      <c r="M93" s="6">
        <v>0</v>
      </c>
      <c r="N93" s="6" t="s">
        <v>53</v>
      </c>
      <c r="O93" s="6" t="s">
        <v>152</v>
      </c>
      <c r="P93" s="6" t="s">
        <v>172</v>
      </c>
      <c r="Q93" s="6" t="s">
        <v>92</v>
      </c>
    </row>
    <row r="94" spans="1:17" ht="15.5" x14ac:dyDescent="0.35">
      <c r="A94" s="6" t="s">
        <v>242</v>
      </c>
      <c r="B94" s="7">
        <v>45973</v>
      </c>
      <c r="C94" s="7" t="s">
        <v>620</v>
      </c>
      <c r="D94" s="6" t="s">
        <v>244</v>
      </c>
      <c r="E94" s="6" t="s">
        <v>30</v>
      </c>
      <c r="F94" s="6" t="s">
        <v>126</v>
      </c>
      <c r="G94" s="6" t="s">
        <v>42</v>
      </c>
      <c r="H94" s="6" t="s">
        <v>193</v>
      </c>
      <c r="I94" s="6">
        <v>6</v>
      </c>
      <c r="J94" s="6">
        <v>26.25</v>
      </c>
      <c r="K94" s="6">
        <v>0</v>
      </c>
      <c r="L94" s="6">
        <v>157.5</v>
      </c>
      <c r="M94" s="6">
        <v>0</v>
      </c>
      <c r="N94" s="6" t="s">
        <v>53</v>
      </c>
      <c r="O94" s="6" t="s">
        <v>152</v>
      </c>
      <c r="P94" s="6" t="s">
        <v>55</v>
      </c>
      <c r="Q94" s="6" t="s">
        <v>56</v>
      </c>
    </row>
    <row r="95" spans="1:17" ht="15.5" x14ac:dyDescent="0.35">
      <c r="A95" s="6" t="s">
        <v>350</v>
      </c>
      <c r="B95" s="7">
        <v>46090</v>
      </c>
      <c r="C95" s="7" t="s">
        <v>619</v>
      </c>
      <c r="D95" s="6" t="s">
        <v>557</v>
      </c>
      <c r="E95" s="6" t="s">
        <v>30</v>
      </c>
      <c r="F95" s="6" t="s">
        <v>126</v>
      </c>
      <c r="G95" s="6" t="s">
        <v>120</v>
      </c>
      <c r="H95" s="6" t="s">
        <v>227</v>
      </c>
      <c r="I95" s="6">
        <v>7</v>
      </c>
      <c r="J95" s="6">
        <v>173.09</v>
      </c>
      <c r="K95" s="6">
        <v>5</v>
      </c>
      <c r="L95" s="6">
        <v>1211.6300000000001</v>
      </c>
      <c r="M95" s="6">
        <v>19.2</v>
      </c>
      <c r="N95" s="6" t="s">
        <v>63</v>
      </c>
      <c r="O95" s="6" t="s">
        <v>84</v>
      </c>
      <c r="P95" s="6" t="s">
        <v>138</v>
      </c>
      <c r="Q95" s="6" t="s">
        <v>26</v>
      </c>
    </row>
    <row r="96" spans="1:17" ht="15.5" x14ac:dyDescent="0.35">
      <c r="A96" s="6" t="s">
        <v>234</v>
      </c>
      <c r="B96" s="7">
        <v>46219</v>
      </c>
      <c r="C96" s="7" t="s">
        <v>625</v>
      </c>
      <c r="D96" s="6" t="s">
        <v>236</v>
      </c>
      <c r="E96" s="6" t="s">
        <v>113</v>
      </c>
      <c r="F96" s="6" t="s">
        <v>61</v>
      </c>
      <c r="G96" s="6" t="s">
        <v>71</v>
      </c>
      <c r="H96" s="6" t="s">
        <v>237</v>
      </c>
      <c r="I96" s="6">
        <v>2</v>
      </c>
      <c r="J96" s="6">
        <v>133.75</v>
      </c>
      <c r="K96" s="6">
        <v>0</v>
      </c>
      <c r="L96" s="6">
        <v>267.5</v>
      </c>
      <c r="M96" s="6">
        <v>0</v>
      </c>
      <c r="N96" s="6" t="s">
        <v>53</v>
      </c>
      <c r="O96" s="6" t="s">
        <v>78</v>
      </c>
      <c r="P96" s="6" t="s">
        <v>138</v>
      </c>
      <c r="Q96" s="6" t="s">
        <v>26</v>
      </c>
    </row>
    <row r="97" spans="1:17" ht="15.5" x14ac:dyDescent="0.35">
      <c r="A97" s="6" t="s">
        <v>249</v>
      </c>
      <c r="B97" s="7">
        <v>45960</v>
      </c>
      <c r="C97" s="7" t="s">
        <v>617</v>
      </c>
      <c r="D97" s="6" t="s">
        <v>251</v>
      </c>
      <c r="E97" s="6" t="s">
        <v>19</v>
      </c>
      <c r="F97" s="6" t="s">
        <v>20</v>
      </c>
      <c r="G97" s="6" t="s">
        <v>120</v>
      </c>
      <c r="H97" s="6" t="s">
        <v>252</v>
      </c>
      <c r="I97" s="6">
        <v>1</v>
      </c>
      <c r="J97" s="6">
        <v>116.09</v>
      </c>
      <c r="K97" s="6">
        <v>15</v>
      </c>
      <c r="L97" s="6">
        <v>116.09</v>
      </c>
      <c r="M97" s="6">
        <v>3.68</v>
      </c>
      <c r="N97" s="6" t="s">
        <v>63</v>
      </c>
      <c r="O97" s="6" t="s">
        <v>103</v>
      </c>
      <c r="P97" s="6" t="s">
        <v>45</v>
      </c>
      <c r="Q97" s="6" t="s">
        <v>26</v>
      </c>
    </row>
    <row r="98" spans="1:17" ht="15.5" x14ac:dyDescent="0.35">
      <c r="A98" s="6" t="s">
        <v>218</v>
      </c>
      <c r="B98" s="7">
        <v>46261</v>
      </c>
      <c r="C98" s="7" t="s">
        <v>624</v>
      </c>
      <c r="D98" s="6" t="s">
        <v>219</v>
      </c>
      <c r="E98" s="6" t="s">
        <v>89</v>
      </c>
      <c r="F98" s="6" t="s">
        <v>136</v>
      </c>
      <c r="G98" s="6" t="s">
        <v>21</v>
      </c>
      <c r="H98" s="6" t="s">
        <v>220</v>
      </c>
      <c r="I98" s="6">
        <v>3</v>
      </c>
      <c r="J98" s="6">
        <v>193.4</v>
      </c>
      <c r="K98" s="6">
        <v>15</v>
      </c>
      <c r="L98" s="6">
        <v>580.20000000000005</v>
      </c>
      <c r="M98" s="6">
        <v>0</v>
      </c>
      <c r="N98" s="6" t="s">
        <v>53</v>
      </c>
      <c r="O98" s="6" t="s">
        <v>54</v>
      </c>
      <c r="P98" s="6" t="s">
        <v>55</v>
      </c>
      <c r="Q98" s="6" t="s">
        <v>26</v>
      </c>
    </row>
    <row r="99" spans="1:17" ht="15.5" x14ac:dyDescent="0.35">
      <c r="A99" s="6" t="s">
        <v>508</v>
      </c>
      <c r="B99" s="7">
        <v>46168</v>
      </c>
      <c r="C99" s="7" t="s">
        <v>616</v>
      </c>
      <c r="D99" s="6" t="s">
        <v>510</v>
      </c>
      <c r="E99" s="6" t="s">
        <v>30</v>
      </c>
      <c r="F99" s="6" t="s">
        <v>126</v>
      </c>
      <c r="G99" s="6" t="s">
        <v>42</v>
      </c>
      <c r="H99" s="6" t="s">
        <v>308</v>
      </c>
      <c r="I99" s="6">
        <v>4</v>
      </c>
      <c r="J99" s="6">
        <v>209.53</v>
      </c>
      <c r="K99" s="6">
        <v>0</v>
      </c>
      <c r="L99" s="6">
        <v>838.12</v>
      </c>
      <c r="M99" s="6">
        <v>0</v>
      </c>
      <c r="N99" s="6" t="s">
        <v>53</v>
      </c>
      <c r="O99" s="6" t="s">
        <v>24</v>
      </c>
      <c r="P99" s="6" t="s">
        <v>45</v>
      </c>
      <c r="Q99" s="6" t="s">
        <v>26</v>
      </c>
    </row>
    <row r="100" spans="1:17" ht="15.5" x14ac:dyDescent="0.35">
      <c r="A100" s="6" t="s">
        <v>327</v>
      </c>
      <c r="B100" s="7">
        <v>46056</v>
      </c>
      <c r="C100" s="7" t="s">
        <v>621</v>
      </c>
      <c r="D100" s="6" t="s">
        <v>329</v>
      </c>
      <c r="E100" s="6" t="s">
        <v>113</v>
      </c>
      <c r="F100" s="6" t="s">
        <v>61</v>
      </c>
      <c r="G100" s="6" t="s">
        <v>71</v>
      </c>
      <c r="H100" s="6" t="s">
        <v>167</v>
      </c>
      <c r="I100" s="6">
        <v>1</v>
      </c>
      <c r="J100" s="6">
        <v>114.38</v>
      </c>
      <c r="K100" s="6">
        <v>0</v>
      </c>
      <c r="L100" s="6">
        <v>114.38</v>
      </c>
      <c r="M100" s="6">
        <v>23.08</v>
      </c>
      <c r="N100" s="6" t="s">
        <v>63</v>
      </c>
      <c r="O100" s="6" t="s">
        <v>78</v>
      </c>
      <c r="P100" s="6" t="s">
        <v>138</v>
      </c>
      <c r="Q100" s="6" t="s">
        <v>26</v>
      </c>
    </row>
    <row r="101" spans="1:17" ht="15.5" x14ac:dyDescent="0.35">
      <c r="A101" s="6" t="s">
        <v>337</v>
      </c>
      <c r="B101" s="7">
        <v>46233</v>
      </c>
      <c r="C101" s="7" t="s">
        <v>625</v>
      </c>
      <c r="D101" s="6" t="s">
        <v>339</v>
      </c>
      <c r="E101" s="6" t="s">
        <v>69</v>
      </c>
      <c r="F101" s="6" t="s">
        <v>180</v>
      </c>
      <c r="G101" s="6" t="s">
        <v>32</v>
      </c>
      <c r="H101" s="6" t="s">
        <v>151</v>
      </c>
      <c r="I101" s="6">
        <v>4</v>
      </c>
      <c r="J101" s="6">
        <v>106.32</v>
      </c>
      <c r="K101" s="6">
        <v>20</v>
      </c>
      <c r="L101" s="6">
        <v>425.28</v>
      </c>
      <c r="M101" s="6">
        <v>18.02</v>
      </c>
      <c r="N101" s="6" t="s">
        <v>63</v>
      </c>
      <c r="O101" s="6" t="s">
        <v>44</v>
      </c>
      <c r="P101" s="6" t="s">
        <v>172</v>
      </c>
      <c r="Q101" s="6" t="s">
        <v>26</v>
      </c>
    </row>
    <row r="102" spans="1:17" ht="15.5" x14ac:dyDescent="0.35">
      <c r="A102" s="6" t="s">
        <v>353</v>
      </c>
      <c r="B102" s="7">
        <v>46144</v>
      </c>
      <c r="C102" s="7" t="s">
        <v>616</v>
      </c>
      <c r="D102" s="6" t="s">
        <v>355</v>
      </c>
      <c r="E102" s="6" t="s">
        <v>19</v>
      </c>
      <c r="F102" s="6" t="s">
        <v>108</v>
      </c>
      <c r="G102" s="6" t="s">
        <v>71</v>
      </c>
      <c r="H102" s="6" t="s">
        <v>167</v>
      </c>
      <c r="I102" s="6">
        <v>3</v>
      </c>
      <c r="J102" s="6">
        <v>202.42</v>
      </c>
      <c r="K102" s="6">
        <v>5</v>
      </c>
      <c r="L102" s="6">
        <v>607.26</v>
      </c>
      <c r="M102" s="6">
        <v>4.13</v>
      </c>
      <c r="N102" s="6" t="s">
        <v>63</v>
      </c>
      <c r="O102" s="6" t="s">
        <v>54</v>
      </c>
      <c r="P102" s="6" t="s">
        <v>45</v>
      </c>
      <c r="Q102" s="6" t="s">
        <v>26</v>
      </c>
    </row>
    <row r="103" spans="1:17" ht="15.5" x14ac:dyDescent="0.35">
      <c r="A103" s="6" t="s">
        <v>518</v>
      </c>
      <c r="B103" s="7">
        <v>45938</v>
      </c>
      <c r="C103" s="7" t="s">
        <v>617</v>
      </c>
      <c r="D103" s="6" t="s">
        <v>520</v>
      </c>
      <c r="E103" s="6" t="s">
        <v>19</v>
      </c>
      <c r="F103" s="6" t="s">
        <v>20</v>
      </c>
      <c r="G103" s="6" t="s">
        <v>120</v>
      </c>
      <c r="H103" s="6" t="s">
        <v>121</v>
      </c>
      <c r="I103" s="6">
        <v>4</v>
      </c>
      <c r="J103" s="6">
        <v>122.45</v>
      </c>
      <c r="K103" s="6">
        <v>15</v>
      </c>
      <c r="L103" s="6">
        <v>489.8</v>
      </c>
      <c r="M103" s="6">
        <v>23.05</v>
      </c>
      <c r="N103" s="6" t="s">
        <v>63</v>
      </c>
      <c r="O103" s="6" t="s">
        <v>98</v>
      </c>
      <c r="P103" s="6" t="s">
        <v>172</v>
      </c>
      <c r="Q103" s="6" t="s">
        <v>56</v>
      </c>
    </row>
    <row r="104" spans="1:17" ht="15.5" x14ac:dyDescent="0.35">
      <c r="A104" s="6" t="s">
        <v>104</v>
      </c>
      <c r="B104" s="7">
        <v>46094</v>
      </c>
      <c r="C104" s="7" t="s">
        <v>619</v>
      </c>
      <c r="D104" s="6" t="s">
        <v>106</v>
      </c>
      <c r="E104" s="6" t="s">
        <v>19</v>
      </c>
      <c r="F104" s="6" t="s">
        <v>108</v>
      </c>
      <c r="G104" s="6" t="s">
        <v>32</v>
      </c>
      <c r="H104" s="6" t="s">
        <v>109</v>
      </c>
      <c r="I104" s="6">
        <v>8</v>
      </c>
      <c r="J104" s="6">
        <v>119.17</v>
      </c>
      <c r="K104" s="6">
        <v>0</v>
      </c>
      <c r="L104" s="6">
        <v>953.36</v>
      </c>
      <c r="M104" s="6">
        <v>0</v>
      </c>
      <c r="N104" s="6" t="s">
        <v>53</v>
      </c>
      <c r="O104" s="6" t="s">
        <v>84</v>
      </c>
      <c r="P104" s="6" t="s">
        <v>172</v>
      </c>
      <c r="Q104" s="6" t="s">
        <v>26</v>
      </c>
    </row>
    <row r="105" spans="1:17" ht="15.5" x14ac:dyDescent="0.35">
      <c r="A105" s="6" t="s">
        <v>309</v>
      </c>
      <c r="B105" s="7">
        <v>46062</v>
      </c>
      <c r="C105" s="7" t="s">
        <v>621</v>
      </c>
      <c r="D105" s="6" t="s">
        <v>311</v>
      </c>
      <c r="E105" s="6" t="s">
        <v>30</v>
      </c>
      <c r="F105" s="6" t="s">
        <v>31</v>
      </c>
      <c r="G105" s="6" t="s">
        <v>71</v>
      </c>
      <c r="H105" s="6" t="s">
        <v>312</v>
      </c>
      <c r="I105" s="6">
        <v>4</v>
      </c>
      <c r="J105" s="6">
        <v>127.33</v>
      </c>
      <c r="K105" s="6">
        <v>0</v>
      </c>
      <c r="L105" s="6">
        <v>509.32</v>
      </c>
      <c r="M105" s="6">
        <v>13.23</v>
      </c>
      <c r="N105" s="6" t="s">
        <v>63</v>
      </c>
      <c r="O105" s="6" t="s">
        <v>84</v>
      </c>
      <c r="P105" s="6" t="s">
        <v>45</v>
      </c>
      <c r="Q105" s="6" t="s">
        <v>56</v>
      </c>
    </row>
    <row r="106" spans="1:17" ht="15.5" x14ac:dyDescent="0.35">
      <c r="A106" s="6" t="s">
        <v>133</v>
      </c>
      <c r="B106" s="7">
        <v>46164</v>
      </c>
      <c r="C106" s="7" t="s">
        <v>616</v>
      </c>
      <c r="D106" s="6" t="s">
        <v>135</v>
      </c>
      <c r="E106" s="6" t="s">
        <v>89</v>
      </c>
      <c r="F106" s="6" t="s">
        <v>136</v>
      </c>
      <c r="G106" s="6" t="s">
        <v>120</v>
      </c>
      <c r="H106" s="6" t="s">
        <v>137</v>
      </c>
      <c r="I106" s="6">
        <v>4</v>
      </c>
      <c r="J106" s="6">
        <v>21.65</v>
      </c>
      <c r="K106" s="6">
        <v>1</v>
      </c>
      <c r="L106" s="6">
        <v>86.6</v>
      </c>
      <c r="M106" s="6">
        <v>0</v>
      </c>
      <c r="N106" s="6" t="s">
        <v>53</v>
      </c>
      <c r="O106" s="6" t="s">
        <v>35</v>
      </c>
      <c r="P106" s="6" t="s">
        <v>138</v>
      </c>
      <c r="Q106" s="6" t="s">
        <v>26</v>
      </c>
    </row>
    <row r="107" spans="1:17" ht="15.5" x14ac:dyDescent="0.35">
      <c r="A107" s="6" t="s">
        <v>387</v>
      </c>
      <c r="B107" s="7">
        <v>45980</v>
      </c>
      <c r="C107" s="7" t="s">
        <v>620</v>
      </c>
      <c r="D107" s="6" t="s">
        <v>556</v>
      </c>
      <c r="E107" s="6" t="s">
        <v>69</v>
      </c>
      <c r="F107" s="6" t="s">
        <v>82</v>
      </c>
      <c r="G107" s="6" t="s">
        <v>32</v>
      </c>
      <c r="H107" s="6" t="s">
        <v>390</v>
      </c>
      <c r="I107" s="6">
        <v>7</v>
      </c>
      <c r="J107" s="6">
        <v>202.51</v>
      </c>
      <c r="K107" s="6">
        <v>0</v>
      </c>
      <c r="L107" s="6">
        <v>1417.57</v>
      </c>
      <c r="M107" s="6">
        <v>11.34</v>
      </c>
      <c r="N107" s="6" t="s">
        <v>63</v>
      </c>
      <c r="O107" s="6" t="s">
        <v>44</v>
      </c>
      <c r="P107" s="6" t="s">
        <v>172</v>
      </c>
      <c r="Q107" s="6" t="s">
        <v>26</v>
      </c>
    </row>
    <row r="108" spans="1:17" ht="15.5" x14ac:dyDescent="0.35">
      <c r="A108" s="6" t="s">
        <v>361</v>
      </c>
      <c r="B108" s="7">
        <v>46186</v>
      </c>
      <c r="C108" s="7" t="s">
        <v>623</v>
      </c>
      <c r="D108" s="6" t="s">
        <v>363</v>
      </c>
      <c r="E108" s="6" t="s">
        <v>89</v>
      </c>
      <c r="F108" s="6" t="s">
        <v>90</v>
      </c>
      <c r="G108" s="6" t="s">
        <v>120</v>
      </c>
      <c r="H108" s="6" t="s">
        <v>137</v>
      </c>
      <c r="I108" s="6">
        <v>8</v>
      </c>
      <c r="J108" s="6">
        <v>18.75</v>
      </c>
      <c r="K108" s="6">
        <v>20</v>
      </c>
      <c r="L108" s="8">
        <v>120</v>
      </c>
      <c r="M108" s="6">
        <v>15.04</v>
      </c>
      <c r="N108" s="6" t="s">
        <v>63</v>
      </c>
      <c r="O108" s="6" t="s">
        <v>115</v>
      </c>
      <c r="P108" s="6" t="s">
        <v>55</v>
      </c>
      <c r="Q108" s="6" t="s">
        <v>26</v>
      </c>
    </row>
    <row r="109" spans="1:17" ht="15.5" x14ac:dyDescent="0.35">
      <c r="A109" s="6" t="s">
        <v>301</v>
      </c>
      <c r="B109" s="7">
        <v>46134</v>
      </c>
      <c r="C109" s="7" t="s">
        <v>622</v>
      </c>
      <c r="D109" s="6" t="s">
        <v>303</v>
      </c>
      <c r="E109" s="6" t="s">
        <v>69</v>
      </c>
      <c r="F109" s="6" t="s">
        <v>82</v>
      </c>
      <c r="G109" s="6" t="s">
        <v>42</v>
      </c>
      <c r="H109" s="6" t="s">
        <v>572</v>
      </c>
      <c r="I109" s="6">
        <v>6</v>
      </c>
      <c r="J109" s="6">
        <v>8.84</v>
      </c>
      <c r="K109" s="6">
        <v>0</v>
      </c>
      <c r="L109" s="6">
        <v>53.04</v>
      </c>
      <c r="M109" s="6">
        <v>0</v>
      </c>
      <c r="N109" s="6" t="s">
        <v>53</v>
      </c>
      <c r="O109" s="6" t="s">
        <v>78</v>
      </c>
      <c r="P109" s="6" t="s">
        <v>132</v>
      </c>
      <c r="Q109" s="6" t="s">
        <v>26</v>
      </c>
    </row>
    <row r="110" spans="1:17" ht="15.5" x14ac:dyDescent="0.35">
      <c r="A110" s="6" t="s">
        <v>358</v>
      </c>
      <c r="B110" s="7">
        <v>46134</v>
      </c>
      <c r="C110" s="7" t="s">
        <v>622</v>
      </c>
      <c r="D110" s="6" t="s">
        <v>360</v>
      </c>
      <c r="E110" s="6" t="s">
        <v>89</v>
      </c>
      <c r="F110" s="6" t="s">
        <v>136</v>
      </c>
      <c r="G110" s="6" t="s">
        <v>120</v>
      </c>
      <c r="H110" s="6" t="s">
        <v>121</v>
      </c>
      <c r="I110" s="6">
        <v>2</v>
      </c>
      <c r="J110" s="6">
        <v>88.45</v>
      </c>
      <c r="K110" s="6">
        <v>0</v>
      </c>
      <c r="L110" s="6">
        <v>176.9</v>
      </c>
      <c r="M110" s="6">
        <v>0</v>
      </c>
      <c r="N110" s="6" t="s">
        <v>53</v>
      </c>
      <c r="O110" s="6" t="s">
        <v>115</v>
      </c>
      <c r="P110" s="6" t="s">
        <v>55</v>
      </c>
      <c r="Q110" s="6" t="s">
        <v>26</v>
      </c>
    </row>
    <row r="111" spans="1:17" ht="15.5" x14ac:dyDescent="0.35">
      <c r="A111" s="6" t="s">
        <v>505</v>
      </c>
      <c r="B111" s="7">
        <v>46255</v>
      </c>
      <c r="C111" s="7" t="s">
        <v>624</v>
      </c>
      <c r="D111" s="6" t="s">
        <v>507</v>
      </c>
      <c r="E111" s="6" t="s">
        <v>113</v>
      </c>
      <c r="F111" s="6" t="s">
        <v>61</v>
      </c>
      <c r="G111" s="6" t="s">
        <v>42</v>
      </c>
      <c r="H111" s="6" t="s">
        <v>241</v>
      </c>
      <c r="I111" s="6">
        <v>2</v>
      </c>
      <c r="J111" s="6">
        <v>25.1</v>
      </c>
      <c r="K111" s="6">
        <v>5</v>
      </c>
      <c r="L111" s="6">
        <v>50.2</v>
      </c>
      <c r="M111" s="6">
        <v>8.1999999999999993</v>
      </c>
      <c r="N111" s="6" t="s">
        <v>63</v>
      </c>
      <c r="O111" s="6" t="s">
        <v>152</v>
      </c>
      <c r="P111" s="6" t="s">
        <v>172</v>
      </c>
      <c r="Q111" s="6" t="s">
        <v>92</v>
      </c>
    </row>
    <row r="112" spans="1:17" ht="15.5" x14ac:dyDescent="0.35">
      <c r="A112" s="6" t="s">
        <v>521</v>
      </c>
      <c r="B112" s="7">
        <v>46128</v>
      </c>
      <c r="C112" s="7" t="s">
        <v>622</v>
      </c>
      <c r="D112" s="6" t="s">
        <v>522</v>
      </c>
      <c r="E112" s="6" t="s">
        <v>19</v>
      </c>
      <c r="F112" s="6" t="s">
        <v>119</v>
      </c>
      <c r="G112" s="6" t="s">
        <v>21</v>
      </c>
      <c r="H112" s="6" t="s">
        <v>273</v>
      </c>
      <c r="I112" s="6">
        <v>6</v>
      </c>
      <c r="J112" s="6">
        <v>140.78</v>
      </c>
      <c r="K112" s="6">
        <v>10</v>
      </c>
      <c r="L112" s="6">
        <v>844.68</v>
      </c>
      <c r="M112" s="6">
        <v>0</v>
      </c>
      <c r="N112" s="6" t="s">
        <v>53</v>
      </c>
      <c r="O112" s="6" t="s">
        <v>115</v>
      </c>
      <c r="P112" s="6" t="s">
        <v>138</v>
      </c>
      <c r="Q112" s="6" t="s">
        <v>26</v>
      </c>
    </row>
    <row r="113" spans="1:17" ht="15.5" x14ac:dyDescent="0.35">
      <c r="A113" s="6" t="s">
        <v>259</v>
      </c>
      <c r="B113" s="7">
        <v>46059</v>
      </c>
      <c r="C113" s="7" t="s">
        <v>621</v>
      </c>
      <c r="D113" s="6" t="s">
        <v>261</v>
      </c>
      <c r="E113" s="6" t="s">
        <v>69</v>
      </c>
      <c r="F113" s="6" t="s">
        <v>180</v>
      </c>
      <c r="G113" s="6" t="s">
        <v>71</v>
      </c>
      <c r="H113" s="6" t="s">
        <v>262</v>
      </c>
      <c r="I113" s="6">
        <v>5</v>
      </c>
      <c r="J113" s="6">
        <v>108.17</v>
      </c>
      <c r="K113" s="6">
        <v>5</v>
      </c>
      <c r="L113" s="6">
        <v>540.85</v>
      </c>
      <c r="M113" s="6">
        <v>16.260000000000002</v>
      </c>
      <c r="N113" s="6" t="s">
        <v>63</v>
      </c>
      <c r="O113" s="6" t="s">
        <v>103</v>
      </c>
      <c r="P113" s="6" t="s">
        <v>45</v>
      </c>
      <c r="Q113" s="6" t="s">
        <v>26</v>
      </c>
    </row>
    <row r="114" spans="1:17" ht="15.5" x14ac:dyDescent="0.35">
      <c r="A114" s="6" t="s">
        <v>263</v>
      </c>
      <c r="B114" s="7">
        <v>46094</v>
      </c>
      <c r="C114" s="7" t="s">
        <v>619</v>
      </c>
      <c r="D114" s="6" t="s">
        <v>264</v>
      </c>
      <c r="E114" s="6" t="s">
        <v>19</v>
      </c>
      <c r="F114" s="6" t="s">
        <v>108</v>
      </c>
      <c r="G114" s="6" t="s">
        <v>32</v>
      </c>
      <c r="H114" s="6" t="s">
        <v>265</v>
      </c>
      <c r="I114" s="6">
        <v>4</v>
      </c>
      <c r="J114" s="6">
        <v>122.36</v>
      </c>
      <c r="K114" s="6">
        <v>0</v>
      </c>
      <c r="L114" s="6">
        <v>489.44</v>
      </c>
      <c r="M114" s="6">
        <v>11.04</v>
      </c>
      <c r="N114" s="6" t="s">
        <v>63</v>
      </c>
      <c r="O114" s="6" t="s">
        <v>44</v>
      </c>
      <c r="P114" s="6" t="s">
        <v>132</v>
      </c>
      <c r="Q114" s="6" t="s">
        <v>92</v>
      </c>
    </row>
    <row r="115" spans="1:17" ht="15.5" x14ac:dyDescent="0.35">
      <c r="A115" s="6" t="s">
        <v>546</v>
      </c>
      <c r="B115" s="7">
        <v>45966</v>
      </c>
      <c r="C115" s="7" t="s">
        <v>620</v>
      </c>
      <c r="D115" s="6" t="s">
        <v>548</v>
      </c>
      <c r="E115" s="6" t="s">
        <v>19</v>
      </c>
      <c r="F115" s="6" t="s">
        <v>108</v>
      </c>
      <c r="G115" s="6" t="s">
        <v>42</v>
      </c>
      <c r="H115" s="6" t="s">
        <v>572</v>
      </c>
      <c r="I115" s="6">
        <v>8</v>
      </c>
      <c r="J115" s="6">
        <v>236.03</v>
      </c>
      <c r="K115" s="6">
        <v>15</v>
      </c>
      <c r="L115" s="6">
        <v>1888.24</v>
      </c>
      <c r="M115" s="6">
        <v>10.67</v>
      </c>
      <c r="N115" s="6" t="s">
        <v>63</v>
      </c>
      <c r="O115" s="6" t="s">
        <v>84</v>
      </c>
      <c r="P115" s="6" t="s">
        <v>55</v>
      </c>
      <c r="Q115" s="6" t="s">
        <v>26</v>
      </c>
    </row>
    <row r="116" spans="1:17" ht="15.5" x14ac:dyDescent="0.35">
      <c r="A116" s="6" t="s">
        <v>434</v>
      </c>
      <c r="B116" s="7">
        <v>45974</v>
      </c>
      <c r="C116" s="7" t="s">
        <v>620</v>
      </c>
      <c r="D116" s="6" t="s">
        <v>436</v>
      </c>
      <c r="E116" s="6" t="s">
        <v>19</v>
      </c>
      <c r="F116" s="6" t="s">
        <v>119</v>
      </c>
      <c r="G116" s="6" t="s">
        <v>21</v>
      </c>
      <c r="H116" s="6" t="s">
        <v>531</v>
      </c>
      <c r="I116" s="6">
        <v>6</v>
      </c>
      <c r="J116" s="6">
        <v>176.9</v>
      </c>
      <c r="K116" s="6">
        <v>15</v>
      </c>
      <c r="L116" s="6">
        <v>1061.4000000000001</v>
      </c>
      <c r="M116" s="6">
        <v>11.19</v>
      </c>
      <c r="N116" s="6" t="s">
        <v>63</v>
      </c>
      <c r="O116" s="6" t="s">
        <v>98</v>
      </c>
      <c r="P116" s="6" t="s">
        <v>138</v>
      </c>
      <c r="Q116" s="6" t="s">
        <v>92</v>
      </c>
    </row>
    <row r="117" spans="1:17" ht="15.5" x14ac:dyDescent="0.35">
      <c r="A117" s="6" t="s">
        <v>428</v>
      </c>
      <c r="B117" s="7">
        <v>46232</v>
      </c>
      <c r="C117" s="7" t="s">
        <v>625</v>
      </c>
      <c r="D117" s="6" t="s">
        <v>430</v>
      </c>
      <c r="E117" s="6" t="s">
        <v>89</v>
      </c>
      <c r="F117" s="6" t="s">
        <v>136</v>
      </c>
      <c r="G117" s="6" t="s">
        <v>32</v>
      </c>
      <c r="H117" s="6" t="s">
        <v>91</v>
      </c>
      <c r="I117" s="6">
        <v>4</v>
      </c>
      <c r="J117" s="6">
        <v>114.22</v>
      </c>
      <c r="K117" s="6">
        <v>0</v>
      </c>
      <c r="L117" s="6">
        <v>456.88</v>
      </c>
      <c r="M117" s="6">
        <v>0</v>
      </c>
      <c r="N117" s="6" t="s">
        <v>53</v>
      </c>
      <c r="O117" s="6" t="s">
        <v>54</v>
      </c>
      <c r="P117" s="6" t="s">
        <v>45</v>
      </c>
      <c r="Q117" s="6" t="s">
        <v>26</v>
      </c>
    </row>
    <row r="118" spans="1:17" ht="15.5" x14ac:dyDescent="0.35">
      <c r="A118" s="6" t="s">
        <v>493</v>
      </c>
      <c r="B118" s="7">
        <v>45989</v>
      </c>
      <c r="C118" s="7" t="s">
        <v>620</v>
      </c>
      <c r="D118" s="6" t="s">
        <v>445</v>
      </c>
      <c r="E118" s="6" t="s">
        <v>30</v>
      </c>
      <c r="F118" s="6" t="s">
        <v>126</v>
      </c>
      <c r="G118" s="6" t="s">
        <v>32</v>
      </c>
      <c r="H118" s="6" t="s">
        <v>277</v>
      </c>
      <c r="I118" s="6">
        <v>8</v>
      </c>
      <c r="J118" s="6">
        <v>83.13</v>
      </c>
      <c r="K118" s="6">
        <v>10</v>
      </c>
      <c r="L118" s="6">
        <v>665.04</v>
      </c>
      <c r="M118" s="6">
        <v>0</v>
      </c>
      <c r="N118" s="6" t="s">
        <v>53</v>
      </c>
      <c r="O118" s="6" t="s">
        <v>115</v>
      </c>
      <c r="P118" s="6" t="s">
        <v>138</v>
      </c>
      <c r="Q118" s="6" t="s">
        <v>146</v>
      </c>
    </row>
    <row r="119" spans="1:17" ht="15.5" x14ac:dyDescent="0.35">
      <c r="A119" s="6" t="s">
        <v>324</v>
      </c>
      <c r="B119" s="7">
        <v>46161</v>
      </c>
      <c r="C119" s="7" t="s">
        <v>616</v>
      </c>
      <c r="D119" s="6" t="s">
        <v>326</v>
      </c>
      <c r="E119" s="6" t="s">
        <v>30</v>
      </c>
      <c r="F119" s="6" t="s">
        <v>202</v>
      </c>
      <c r="G119" s="6" t="s">
        <v>71</v>
      </c>
      <c r="H119" s="6" t="s">
        <v>114</v>
      </c>
      <c r="I119" s="6">
        <v>7</v>
      </c>
      <c r="J119" s="6">
        <v>101.92</v>
      </c>
      <c r="K119" s="6">
        <v>10</v>
      </c>
      <c r="L119" s="6">
        <v>713.44</v>
      </c>
      <c r="M119" s="6">
        <v>0</v>
      </c>
      <c r="N119" s="6" t="s">
        <v>53</v>
      </c>
      <c r="O119" s="6" t="s">
        <v>54</v>
      </c>
      <c r="P119" s="6" t="s">
        <v>55</v>
      </c>
      <c r="Q119" s="6" t="s">
        <v>26</v>
      </c>
    </row>
    <row r="120" spans="1:17" ht="15.5" x14ac:dyDescent="0.35">
      <c r="A120" s="6" t="s">
        <v>528</v>
      </c>
      <c r="B120" s="7">
        <v>46109</v>
      </c>
      <c r="C120" s="7" t="s">
        <v>619</v>
      </c>
      <c r="D120" s="6" t="s">
        <v>530</v>
      </c>
      <c r="E120" s="6" t="s">
        <v>89</v>
      </c>
      <c r="F120" s="6" t="s">
        <v>166</v>
      </c>
      <c r="G120" s="6" t="s">
        <v>21</v>
      </c>
      <c r="H120" s="6" t="s">
        <v>531</v>
      </c>
      <c r="I120" s="6">
        <v>6</v>
      </c>
      <c r="J120" s="6">
        <v>151.26</v>
      </c>
      <c r="K120" s="6">
        <v>10</v>
      </c>
      <c r="L120" s="6">
        <v>907.56</v>
      </c>
      <c r="M120" s="6">
        <v>5.08</v>
      </c>
      <c r="N120" s="6" t="s">
        <v>63</v>
      </c>
      <c r="O120" s="6" t="s">
        <v>98</v>
      </c>
      <c r="P120" s="6" t="s">
        <v>55</v>
      </c>
      <c r="Q120" s="6" t="s">
        <v>146</v>
      </c>
    </row>
    <row r="121" spans="1:17" ht="15.5" x14ac:dyDescent="0.35">
      <c r="A121" s="6" t="s">
        <v>168</v>
      </c>
      <c r="B121" s="7">
        <v>46261</v>
      </c>
      <c r="C121" s="7" t="s">
        <v>624</v>
      </c>
      <c r="D121" s="6" t="s">
        <v>170</v>
      </c>
      <c r="E121" s="6" t="s">
        <v>30</v>
      </c>
      <c r="F121" s="6" t="s">
        <v>126</v>
      </c>
      <c r="G121" s="6" t="s">
        <v>21</v>
      </c>
      <c r="H121" s="6" t="s">
        <v>22</v>
      </c>
      <c r="I121" s="6">
        <v>7</v>
      </c>
      <c r="J121" s="6">
        <v>108.64</v>
      </c>
      <c r="K121" s="6">
        <v>10</v>
      </c>
      <c r="L121" s="6">
        <v>760.48</v>
      </c>
      <c r="M121" s="6">
        <v>10.26</v>
      </c>
      <c r="N121" s="6" t="s">
        <v>63</v>
      </c>
      <c r="O121" s="6" t="s">
        <v>35</v>
      </c>
      <c r="P121" s="6" t="s">
        <v>172</v>
      </c>
      <c r="Q121" s="6" t="s">
        <v>26</v>
      </c>
    </row>
    <row r="122" spans="1:17" ht="15.5" x14ac:dyDescent="0.35">
      <c r="A122" s="6" t="s">
        <v>228</v>
      </c>
      <c r="B122" s="7">
        <v>46220</v>
      </c>
      <c r="C122" s="7" t="s">
        <v>625</v>
      </c>
      <c r="D122" s="6" t="s">
        <v>230</v>
      </c>
      <c r="E122" s="6" t="s">
        <v>19</v>
      </c>
      <c r="F122" s="6" t="s">
        <v>20</v>
      </c>
      <c r="G122" s="6" t="s">
        <v>21</v>
      </c>
      <c r="H122" s="6" t="s">
        <v>97</v>
      </c>
      <c r="I122" s="6">
        <v>7</v>
      </c>
      <c r="J122" s="6">
        <v>178.98</v>
      </c>
      <c r="K122" s="6">
        <v>10</v>
      </c>
      <c r="L122" s="6">
        <v>1252.8599999999999</v>
      </c>
      <c r="M122" s="6">
        <v>19.62</v>
      </c>
      <c r="N122" s="6" t="s">
        <v>63</v>
      </c>
      <c r="O122" s="6" t="s">
        <v>35</v>
      </c>
      <c r="P122" s="6" t="s">
        <v>172</v>
      </c>
      <c r="Q122" s="6" t="s">
        <v>26</v>
      </c>
    </row>
    <row r="123" spans="1:17" ht="15.5" x14ac:dyDescent="0.35">
      <c r="A123" s="6" t="s">
        <v>291</v>
      </c>
      <c r="B123" s="7">
        <v>46265</v>
      </c>
      <c r="C123" s="7" t="s">
        <v>624</v>
      </c>
      <c r="D123" s="6" t="s">
        <v>293</v>
      </c>
      <c r="E123" s="6" t="s">
        <v>19</v>
      </c>
      <c r="F123" s="6" t="s">
        <v>20</v>
      </c>
      <c r="G123" s="6" t="s">
        <v>42</v>
      </c>
      <c r="H123" s="6" t="s">
        <v>572</v>
      </c>
      <c r="I123" s="6">
        <v>8</v>
      </c>
      <c r="J123" s="6">
        <v>138.86000000000001</v>
      </c>
      <c r="K123" s="6">
        <v>20</v>
      </c>
      <c r="L123" s="6">
        <v>1110.8800000000001</v>
      </c>
      <c r="M123" s="6">
        <v>19.84</v>
      </c>
      <c r="N123" s="6" t="s">
        <v>63</v>
      </c>
      <c r="O123" s="6" t="s">
        <v>35</v>
      </c>
      <c r="P123" s="6" t="s">
        <v>132</v>
      </c>
      <c r="Q123" s="6" t="s">
        <v>146</v>
      </c>
    </row>
    <row r="124" spans="1:17" ht="15.5" x14ac:dyDescent="0.35">
      <c r="A124" s="6" t="s">
        <v>190</v>
      </c>
      <c r="B124" s="7">
        <v>46222</v>
      </c>
      <c r="C124" s="7" t="s">
        <v>625</v>
      </c>
      <c r="D124" s="6" t="s">
        <v>192</v>
      </c>
      <c r="E124" s="6" t="s">
        <v>69</v>
      </c>
      <c r="F124" s="6" t="s">
        <v>82</v>
      </c>
      <c r="G124" s="6" t="s">
        <v>42</v>
      </c>
      <c r="H124" s="6" t="s">
        <v>193</v>
      </c>
      <c r="I124" s="6">
        <v>3</v>
      </c>
      <c r="J124" s="6">
        <v>197.29</v>
      </c>
      <c r="K124" s="6">
        <v>0</v>
      </c>
      <c r="L124" s="6">
        <v>591.87</v>
      </c>
      <c r="M124" s="6">
        <v>0</v>
      </c>
      <c r="N124" s="6" t="s">
        <v>53</v>
      </c>
      <c r="O124" s="6" t="s">
        <v>152</v>
      </c>
      <c r="P124" s="6" t="s">
        <v>55</v>
      </c>
      <c r="Q124" s="6" t="s">
        <v>26</v>
      </c>
    </row>
    <row r="125" spans="1:17" ht="15.5" x14ac:dyDescent="0.35">
      <c r="A125" s="6" t="s">
        <v>446</v>
      </c>
      <c r="B125" s="7">
        <v>46132</v>
      </c>
      <c r="C125" s="7" t="s">
        <v>622</v>
      </c>
      <c r="D125" s="6" t="s">
        <v>447</v>
      </c>
      <c r="E125" s="6" t="s">
        <v>113</v>
      </c>
      <c r="F125" s="6" t="s">
        <v>51</v>
      </c>
      <c r="G125" s="6" t="s">
        <v>32</v>
      </c>
      <c r="H125" s="6" t="s">
        <v>151</v>
      </c>
      <c r="I125" s="6">
        <v>3</v>
      </c>
      <c r="J125" s="6">
        <v>66.17</v>
      </c>
      <c r="K125" s="6">
        <v>0</v>
      </c>
      <c r="L125" s="6">
        <v>198.51</v>
      </c>
      <c r="M125" s="6">
        <v>0</v>
      </c>
      <c r="N125" s="6" t="s">
        <v>53</v>
      </c>
      <c r="O125" s="6" t="s">
        <v>35</v>
      </c>
      <c r="P125" s="6" t="s">
        <v>45</v>
      </c>
      <c r="Q125" s="6" t="s">
        <v>26</v>
      </c>
    </row>
    <row r="126" spans="1:17" ht="15.5" x14ac:dyDescent="0.35">
      <c r="A126" s="6" t="s">
        <v>488</v>
      </c>
      <c r="B126" s="7">
        <v>46114</v>
      </c>
      <c r="C126" s="7" t="s">
        <v>622</v>
      </c>
      <c r="D126" s="6" t="s">
        <v>490</v>
      </c>
      <c r="E126" s="6" t="s">
        <v>69</v>
      </c>
      <c r="F126" s="6" t="s">
        <v>82</v>
      </c>
      <c r="G126" s="6" t="s">
        <v>21</v>
      </c>
      <c r="H126" s="6" t="s">
        <v>52</v>
      </c>
      <c r="I126" s="6">
        <v>2</v>
      </c>
      <c r="J126" s="6">
        <v>184.08</v>
      </c>
      <c r="K126" s="6">
        <v>0</v>
      </c>
      <c r="L126" s="6">
        <v>368.16</v>
      </c>
      <c r="M126" s="6">
        <v>8.52</v>
      </c>
      <c r="N126" s="6" t="s">
        <v>63</v>
      </c>
      <c r="O126" s="6" t="s">
        <v>35</v>
      </c>
      <c r="P126" s="6" t="s">
        <v>138</v>
      </c>
      <c r="Q126" s="6" t="s">
        <v>92</v>
      </c>
    </row>
    <row r="127" spans="1:17" ht="15.5" x14ac:dyDescent="0.35">
      <c r="A127" s="6" t="s">
        <v>381</v>
      </c>
      <c r="B127" s="7">
        <v>46164</v>
      </c>
      <c r="C127" s="7" t="s">
        <v>616</v>
      </c>
      <c r="D127" s="6" t="s">
        <v>383</v>
      </c>
      <c r="E127" s="6" t="s">
        <v>69</v>
      </c>
      <c r="F127" s="6" t="s">
        <v>70</v>
      </c>
      <c r="G127" s="6" t="s">
        <v>120</v>
      </c>
      <c r="H127" s="6" t="s">
        <v>576</v>
      </c>
      <c r="I127" s="6">
        <v>8</v>
      </c>
      <c r="J127" s="6">
        <v>8.99</v>
      </c>
      <c r="K127" s="6">
        <v>20</v>
      </c>
      <c r="L127" s="6">
        <v>71.92</v>
      </c>
      <c r="M127" s="6">
        <v>8.3000000000000007</v>
      </c>
      <c r="N127" s="6" t="s">
        <v>63</v>
      </c>
      <c r="O127" s="6" t="s">
        <v>84</v>
      </c>
      <c r="P127" s="6" t="s">
        <v>55</v>
      </c>
      <c r="Q127" s="6" t="s">
        <v>26</v>
      </c>
    </row>
    <row r="128" spans="1:17" ht="15.5" x14ac:dyDescent="0.35">
      <c r="A128" s="6" t="s">
        <v>212</v>
      </c>
      <c r="B128" s="7">
        <v>46040</v>
      </c>
      <c r="C128" s="7" t="s">
        <v>618</v>
      </c>
      <c r="D128" s="6" t="s">
        <v>214</v>
      </c>
      <c r="E128" s="6" t="s">
        <v>30</v>
      </c>
      <c r="F128" s="6" t="s">
        <v>202</v>
      </c>
      <c r="G128" s="6" t="s">
        <v>21</v>
      </c>
      <c r="H128" s="6" t="s">
        <v>211</v>
      </c>
      <c r="I128" s="6">
        <v>4</v>
      </c>
      <c r="J128" s="6">
        <v>110.16</v>
      </c>
      <c r="K128" s="6">
        <v>15</v>
      </c>
      <c r="L128" s="6">
        <v>440.64</v>
      </c>
      <c r="M128" s="6">
        <v>4.7699999999999996</v>
      </c>
      <c r="N128" s="6" t="s">
        <v>63</v>
      </c>
      <c r="O128" s="6" t="s">
        <v>103</v>
      </c>
      <c r="P128" s="6" t="s">
        <v>138</v>
      </c>
      <c r="Q128" s="6" t="s">
        <v>26</v>
      </c>
    </row>
    <row r="129" spans="1:17" ht="15.5" x14ac:dyDescent="0.35">
      <c r="A129" s="6" t="s">
        <v>515</v>
      </c>
      <c r="B129" s="7">
        <v>45999</v>
      </c>
      <c r="C129" s="7" t="s">
        <v>626</v>
      </c>
      <c r="D129" s="6" t="s">
        <v>517</v>
      </c>
      <c r="E129" s="6" t="s">
        <v>113</v>
      </c>
      <c r="F129" s="6" t="s">
        <v>41</v>
      </c>
      <c r="G129" s="6" t="s">
        <v>120</v>
      </c>
      <c r="H129" s="6" t="s">
        <v>121</v>
      </c>
      <c r="I129" s="6">
        <v>5</v>
      </c>
      <c r="J129" s="6">
        <v>38.6</v>
      </c>
      <c r="K129" s="6">
        <v>0</v>
      </c>
      <c r="L129" s="6">
        <v>193</v>
      </c>
      <c r="M129" s="6">
        <v>16.45</v>
      </c>
      <c r="N129" s="6" t="s">
        <v>63</v>
      </c>
      <c r="O129" s="6" t="s">
        <v>35</v>
      </c>
      <c r="P129" s="6" t="s">
        <v>172</v>
      </c>
      <c r="Q129" s="6" t="s">
        <v>26</v>
      </c>
    </row>
    <row r="130" spans="1:17" ht="15.5" x14ac:dyDescent="0.35">
      <c r="A130" s="6" t="s">
        <v>298</v>
      </c>
      <c r="B130" s="7">
        <v>46057</v>
      </c>
      <c r="C130" s="7" t="s">
        <v>621</v>
      </c>
      <c r="D130" s="6" t="s">
        <v>300</v>
      </c>
      <c r="E130" s="6" t="s">
        <v>30</v>
      </c>
      <c r="F130" s="6" t="s">
        <v>31</v>
      </c>
      <c r="G130" s="6" t="s">
        <v>120</v>
      </c>
      <c r="H130" s="6" t="s">
        <v>573</v>
      </c>
      <c r="I130" s="6">
        <v>7</v>
      </c>
      <c r="J130" s="6">
        <v>91.13</v>
      </c>
      <c r="K130" s="6">
        <v>0</v>
      </c>
      <c r="L130" s="6">
        <v>637.91</v>
      </c>
      <c r="M130" s="6">
        <v>0</v>
      </c>
      <c r="N130" s="6" t="s">
        <v>53</v>
      </c>
      <c r="O130" s="6" t="s">
        <v>98</v>
      </c>
      <c r="P130" s="6" t="s">
        <v>132</v>
      </c>
      <c r="Q130" s="6" t="s">
        <v>26</v>
      </c>
    </row>
    <row r="131" spans="1:17" ht="15.5" x14ac:dyDescent="0.35">
      <c r="A131" s="6" t="s">
        <v>400</v>
      </c>
      <c r="B131" s="7">
        <v>46053</v>
      </c>
      <c r="C131" s="7" t="s">
        <v>618</v>
      </c>
      <c r="D131" s="6" t="s">
        <v>402</v>
      </c>
      <c r="E131" s="6" t="s">
        <v>69</v>
      </c>
      <c r="F131" s="6" t="s">
        <v>70</v>
      </c>
      <c r="G131" s="6" t="s">
        <v>42</v>
      </c>
      <c r="H131" s="6" t="s">
        <v>403</v>
      </c>
      <c r="I131" s="6">
        <v>7</v>
      </c>
      <c r="J131" s="6">
        <v>77.41</v>
      </c>
      <c r="K131" s="6">
        <v>0</v>
      </c>
      <c r="L131" s="6">
        <v>541.87</v>
      </c>
      <c r="M131" s="6">
        <v>23.48</v>
      </c>
      <c r="N131" s="6" t="s">
        <v>63</v>
      </c>
      <c r="O131" s="6" t="s">
        <v>78</v>
      </c>
      <c r="P131" s="6" t="s">
        <v>45</v>
      </c>
      <c r="Q131" s="6" t="s">
        <v>26</v>
      </c>
    </row>
    <row r="132" spans="1:17" ht="15.5" x14ac:dyDescent="0.35">
      <c r="A132" s="6" t="s">
        <v>410</v>
      </c>
      <c r="B132" s="7">
        <v>45951</v>
      </c>
      <c r="C132" s="7" t="s">
        <v>617</v>
      </c>
      <c r="D132" s="6" t="s">
        <v>412</v>
      </c>
      <c r="E132" s="6" t="s">
        <v>69</v>
      </c>
      <c r="F132" s="6" t="s">
        <v>82</v>
      </c>
      <c r="G132" s="6" t="s">
        <v>71</v>
      </c>
      <c r="H132" s="6" t="s">
        <v>162</v>
      </c>
      <c r="I132" s="6">
        <v>2</v>
      </c>
      <c r="J132" s="6">
        <v>9.09</v>
      </c>
      <c r="K132" s="6">
        <v>0</v>
      </c>
      <c r="L132" s="6">
        <v>18.18</v>
      </c>
      <c r="M132" s="6">
        <v>0</v>
      </c>
      <c r="N132" s="6" t="s">
        <v>53</v>
      </c>
      <c r="O132" s="6" t="s">
        <v>44</v>
      </c>
      <c r="P132" s="6" t="s">
        <v>55</v>
      </c>
      <c r="Q132" s="6" t="s">
        <v>26</v>
      </c>
    </row>
    <row r="133" spans="1:17" ht="15.5" x14ac:dyDescent="0.35">
      <c r="A133" s="6" t="s">
        <v>407</v>
      </c>
      <c r="B133" s="7">
        <v>46053</v>
      </c>
      <c r="C133" s="7" t="s">
        <v>618</v>
      </c>
      <c r="D133" s="6" t="s">
        <v>408</v>
      </c>
      <c r="E133" s="6" t="s">
        <v>89</v>
      </c>
      <c r="F133" s="6" t="s">
        <v>166</v>
      </c>
      <c r="G133" s="6" t="s">
        <v>71</v>
      </c>
      <c r="H133" s="6" t="s">
        <v>72</v>
      </c>
      <c r="I133" s="6">
        <v>2</v>
      </c>
      <c r="J133" s="6">
        <v>80.989999999999995</v>
      </c>
      <c r="K133" s="6">
        <v>0</v>
      </c>
      <c r="L133" s="6">
        <v>161.97999999999999</v>
      </c>
      <c r="M133" s="6">
        <v>0</v>
      </c>
      <c r="N133" s="6" t="s">
        <v>53</v>
      </c>
      <c r="O133" s="6" t="s">
        <v>103</v>
      </c>
      <c r="P133" s="6" t="s">
        <v>138</v>
      </c>
      <c r="Q133" s="6" t="s">
        <v>26</v>
      </c>
    </row>
    <row r="134" spans="1:17" ht="15.5" x14ac:dyDescent="0.35">
      <c r="A134" s="6" t="s">
        <v>451</v>
      </c>
      <c r="B134" s="7">
        <v>46068</v>
      </c>
      <c r="C134" s="7" t="s">
        <v>621</v>
      </c>
      <c r="D134" s="6" t="s">
        <v>566</v>
      </c>
      <c r="E134" s="6" t="s">
        <v>30</v>
      </c>
      <c r="F134" s="6" t="s">
        <v>202</v>
      </c>
      <c r="G134" s="6" t="s">
        <v>71</v>
      </c>
      <c r="H134" s="6" t="s">
        <v>162</v>
      </c>
      <c r="I134" s="6">
        <v>5</v>
      </c>
      <c r="J134" s="6">
        <v>45.91</v>
      </c>
      <c r="K134" s="6">
        <v>0</v>
      </c>
      <c r="L134" s="6">
        <v>229.55</v>
      </c>
      <c r="M134" s="6">
        <v>24.43</v>
      </c>
      <c r="N134" s="6" t="s">
        <v>63</v>
      </c>
      <c r="O134" s="6" t="s">
        <v>78</v>
      </c>
      <c r="P134" s="6" t="s">
        <v>138</v>
      </c>
      <c r="Q134" s="6" t="s">
        <v>92</v>
      </c>
    </row>
    <row r="135" spans="1:17" ht="15.5" x14ac:dyDescent="0.35">
      <c r="A135" s="6" t="s">
        <v>304</v>
      </c>
      <c r="B135" s="7">
        <v>45990</v>
      </c>
      <c r="C135" s="7" t="s">
        <v>620</v>
      </c>
      <c r="D135" s="6" t="s">
        <v>306</v>
      </c>
      <c r="E135" s="6" t="s">
        <v>89</v>
      </c>
      <c r="F135" s="6" t="s">
        <v>90</v>
      </c>
      <c r="G135" s="6" t="s">
        <v>42</v>
      </c>
      <c r="H135" s="6" t="s">
        <v>308</v>
      </c>
      <c r="I135" s="6">
        <v>5</v>
      </c>
      <c r="J135" s="6">
        <v>194.47</v>
      </c>
      <c r="K135" s="6">
        <v>5</v>
      </c>
      <c r="L135" s="6">
        <v>972.35</v>
      </c>
      <c r="M135" s="6">
        <v>23.17</v>
      </c>
      <c r="N135" s="6" t="s">
        <v>63</v>
      </c>
      <c r="O135" s="6" t="s">
        <v>103</v>
      </c>
      <c r="P135" s="6" t="s">
        <v>172</v>
      </c>
      <c r="Q135" s="6" t="s">
        <v>92</v>
      </c>
    </row>
    <row r="136" spans="1:17" ht="15.5" x14ac:dyDescent="0.35">
      <c r="A136" s="6" t="s">
        <v>364</v>
      </c>
      <c r="B136" s="7">
        <v>46188</v>
      </c>
      <c r="C136" s="7" t="s">
        <v>623</v>
      </c>
      <c r="D136" s="6" t="s">
        <v>567</v>
      </c>
      <c r="E136" s="6" t="s">
        <v>113</v>
      </c>
      <c r="F136" s="6" t="s">
        <v>51</v>
      </c>
      <c r="G136" s="6" t="s">
        <v>32</v>
      </c>
      <c r="H136" s="6" t="s">
        <v>91</v>
      </c>
      <c r="I136" s="6">
        <v>6</v>
      </c>
      <c r="J136" s="6">
        <v>71.459999999999994</v>
      </c>
      <c r="K136" s="6">
        <v>20</v>
      </c>
      <c r="L136" s="6">
        <v>428.76</v>
      </c>
      <c r="M136" s="6">
        <v>21.43</v>
      </c>
      <c r="N136" s="6" t="s">
        <v>63</v>
      </c>
      <c r="O136" s="6" t="s">
        <v>35</v>
      </c>
      <c r="P136" s="6" t="s">
        <v>138</v>
      </c>
      <c r="Q136" s="6" t="s">
        <v>26</v>
      </c>
    </row>
    <row r="137" spans="1:17" ht="15.5" x14ac:dyDescent="0.35">
      <c r="A137" s="6" t="s">
        <v>238</v>
      </c>
      <c r="B137" s="7">
        <v>46031</v>
      </c>
      <c r="C137" s="7" t="s">
        <v>618</v>
      </c>
      <c r="D137" s="6" t="s">
        <v>568</v>
      </c>
      <c r="E137" s="6" t="s">
        <v>30</v>
      </c>
      <c r="F137" s="6" t="s">
        <v>202</v>
      </c>
      <c r="G137" s="6" t="s">
        <v>42</v>
      </c>
      <c r="H137" s="6" t="s">
        <v>241</v>
      </c>
      <c r="I137" s="6">
        <v>4</v>
      </c>
      <c r="J137" s="6">
        <v>118.66</v>
      </c>
      <c r="K137" s="6">
        <v>10</v>
      </c>
      <c r="L137" s="6">
        <v>474.64</v>
      </c>
      <c r="M137" s="6">
        <v>21.31</v>
      </c>
      <c r="N137" s="6" t="s">
        <v>63</v>
      </c>
      <c r="O137" s="6" t="s">
        <v>115</v>
      </c>
      <c r="P137" s="6" t="s">
        <v>45</v>
      </c>
      <c r="Q137" s="6" t="s">
        <v>92</v>
      </c>
    </row>
    <row r="138" spans="1:17" ht="15.5" x14ac:dyDescent="0.35">
      <c r="A138" s="6" t="s">
        <v>66</v>
      </c>
      <c r="B138" s="7">
        <v>46074</v>
      </c>
      <c r="C138" s="7" t="s">
        <v>621</v>
      </c>
      <c r="D138" s="6" t="s">
        <v>555</v>
      </c>
      <c r="E138" s="6" t="s">
        <v>69</v>
      </c>
      <c r="F138" s="6" t="s">
        <v>70</v>
      </c>
      <c r="G138" s="6" t="s">
        <v>71</v>
      </c>
      <c r="H138" s="6" t="s">
        <v>72</v>
      </c>
      <c r="I138" s="6">
        <v>7</v>
      </c>
      <c r="J138" s="6">
        <v>125.55</v>
      </c>
      <c r="K138" s="6">
        <v>5</v>
      </c>
      <c r="L138" s="6">
        <v>878.85</v>
      </c>
      <c r="M138" s="6">
        <v>0</v>
      </c>
      <c r="N138" s="6" t="s">
        <v>53</v>
      </c>
      <c r="O138" s="6" t="s">
        <v>24</v>
      </c>
      <c r="P138" s="6" t="s">
        <v>138</v>
      </c>
      <c r="Q138" s="6" t="s">
        <v>26</v>
      </c>
    </row>
    <row r="139" spans="1:17" ht="15.5" x14ac:dyDescent="0.35">
      <c r="A139" s="6" t="s">
        <v>340</v>
      </c>
      <c r="B139" s="7">
        <v>46132</v>
      </c>
      <c r="C139" s="7" t="s">
        <v>622</v>
      </c>
      <c r="D139" s="6" t="s">
        <v>342</v>
      </c>
      <c r="E139" s="6" t="s">
        <v>113</v>
      </c>
      <c r="F139" s="6" t="s">
        <v>61</v>
      </c>
      <c r="G139" s="6" t="s">
        <v>42</v>
      </c>
      <c r="H139" s="6" t="s">
        <v>403</v>
      </c>
      <c r="I139" s="6">
        <v>3</v>
      </c>
      <c r="J139" s="6">
        <v>63.01</v>
      </c>
      <c r="K139" s="6">
        <v>0</v>
      </c>
      <c r="L139" s="6">
        <v>189.03</v>
      </c>
      <c r="M139" s="6">
        <v>5.78</v>
      </c>
      <c r="N139" s="6" t="s">
        <v>63</v>
      </c>
      <c r="O139" s="6" t="s">
        <v>98</v>
      </c>
      <c r="P139" s="6" t="s">
        <v>55</v>
      </c>
      <c r="Q139" s="6" t="s">
        <v>26</v>
      </c>
    </row>
    <row r="140" spans="1:17" ht="15.5" x14ac:dyDescent="0.35">
      <c r="A140" s="6" t="s">
        <v>471</v>
      </c>
      <c r="B140" s="7">
        <v>46150</v>
      </c>
      <c r="C140" s="7" t="s">
        <v>616</v>
      </c>
      <c r="D140" s="6" t="s">
        <v>472</v>
      </c>
      <c r="E140" s="6" t="s">
        <v>30</v>
      </c>
      <c r="F140" s="6" t="s">
        <v>31</v>
      </c>
      <c r="G140" s="6" t="s">
        <v>32</v>
      </c>
      <c r="H140" s="6" t="s">
        <v>277</v>
      </c>
      <c r="I140" s="6">
        <v>2</v>
      </c>
      <c r="J140" s="6">
        <v>27.15</v>
      </c>
      <c r="K140" s="6">
        <v>5</v>
      </c>
      <c r="L140" s="6">
        <v>54.3</v>
      </c>
      <c r="M140" s="6">
        <v>17.579999999999998</v>
      </c>
      <c r="N140" s="6" t="s">
        <v>63</v>
      </c>
      <c r="O140" s="6" t="s">
        <v>24</v>
      </c>
      <c r="P140" s="6" t="s">
        <v>172</v>
      </c>
      <c r="Q140" s="6" t="s">
        <v>146</v>
      </c>
    </row>
    <row r="141" spans="1:17" ht="15.5" x14ac:dyDescent="0.35">
      <c r="A141" s="6" t="s">
        <v>182</v>
      </c>
      <c r="B141" s="7">
        <v>45962</v>
      </c>
      <c r="C141" s="7" t="s">
        <v>620</v>
      </c>
      <c r="D141" s="6" t="s">
        <v>569</v>
      </c>
      <c r="E141" s="6" t="s">
        <v>113</v>
      </c>
      <c r="F141" s="6" t="s">
        <v>41</v>
      </c>
      <c r="G141" s="6" t="s">
        <v>42</v>
      </c>
      <c r="H141" s="6" t="s">
        <v>185</v>
      </c>
      <c r="I141" s="6">
        <v>8</v>
      </c>
      <c r="J141" s="6">
        <v>29.97</v>
      </c>
      <c r="K141" s="6">
        <v>10</v>
      </c>
      <c r="L141" s="6">
        <v>239.76</v>
      </c>
      <c r="M141" s="6">
        <v>0</v>
      </c>
      <c r="N141" s="6" t="s">
        <v>53</v>
      </c>
      <c r="O141" s="6" t="s">
        <v>54</v>
      </c>
      <c r="P141" s="6" t="s">
        <v>172</v>
      </c>
      <c r="Q141" s="6" t="s">
        <v>26</v>
      </c>
    </row>
  </sheetData>
  <autoFilter ref="A1:Q141" xr:uid="{D87006CD-98AB-4B4F-882C-DBB89FCACC7B}">
    <sortState xmlns:xlrd2="http://schemas.microsoft.com/office/spreadsheetml/2017/richdata2" ref="A2:Q141">
      <sortCondition ref="A1:A141"/>
    </sortState>
  </autoFilter>
  <phoneticPr fontId="8" type="noConversion"/>
  <conditionalFormatting sqref="A1:A1048576">
    <cfRule type="duplicateValues" dxfId="0" priority="1"/>
  </conditionalFormatting>
  <dataValidations count="1">
    <dataValidation type="list" allowBlank="1" showInputMessage="1" showErrorMessage="1" sqref="G1:G1048576" xr:uid="{893BC9C7-3178-47BD-8BA9-57A179A3E7A2}">
      <formula1>$G$2:$G$141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3EA5-7D3C-4957-85D8-10F5C42B2D30}">
  <dimension ref="A1:E9"/>
  <sheetViews>
    <sheetView workbookViewId="0"/>
  </sheetViews>
  <sheetFormatPr defaultColWidth="24.81640625" defaultRowHeight="103.5" customHeight="1" x14ac:dyDescent="0.35"/>
  <cols>
    <col min="1" max="1" width="27.90625" customWidth="1"/>
    <col min="2" max="2" width="26.1796875" customWidth="1"/>
    <col min="4" max="4" width="54" customWidth="1"/>
    <col min="5" max="5" width="29.90625" customWidth="1"/>
  </cols>
  <sheetData>
    <row r="1" spans="1:5" ht="37" customHeight="1" x14ac:dyDescent="0.35">
      <c r="A1" s="18" t="s">
        <v>582</v>
      </c>
      <c r="B1" s="18" t="s">
        <v>583</v>
      </c>
      <c r="C1" s="18" t="s">
        <v>584</v>
      </c>
      <c r="D1" s="18" t="s">
        <v>585</v>
      </c>
      <c r="E1" s="18" t="s">
        <v>586</v>
      </c>
    </row>
    <row r="2" spans="1:5" ht="87.5" customHeight="1" x14ac:dyDescent="0.35">
      <c r="A2" s="19" t="s">
        <v>587</v>
      </c>
      <c r="B2" s="19" t="s">
        <v>588</v>
      </c>
      <c r="C2" s="19">
        <v>40</v>
      </c>
      <c r="D2" s="19" t="s">
        <v>589</v>
      </c>
      <c r="E2" s="19" t="s">
        <v>590</v>
      </c>
    </row>
    <row r="3" spans="1:5" ht="85.5" customHeight="1" x14ac:dyDescent="0.35">
      <c r="A3" s="19" t="s">
        <v>591</v>
      </c>
      <c r="B3" s="19" t="s">
        <v>2</v>
      </c>
      <c r="C3" s="19">
        <v>16</v>
      </c>
      <c r="D3" s="19" t="s">
        <v>592</v>
      </c>
      <c r="E3" s="19" t="s">
        <v>593</v>
      </c>
    </row>
    <row r="4" spans="1:5" ht="103.5" customHeight="1" x14ac:dyDescent="0.35">
      <c r="A4" s="19" t="s">
        <v>594</v>
      </c>
      <c r="B4" s="19" t="s">
        <v>1</v>
      </c>
      <c r="C4" s="19">
        <v>3</v>
      </c>
      <c r="D4" s="19" t="s">
        <v>595</v>
      </c>
      <c r="E4" s="19" t="s">
        <v>596</v>
      </c>
    </row>
    <row r="5" spans="1:5" ht="103.5" customHeight="1" x14ac:dyDescent="0.35">
      <c r="A5" s="19" t="s">
        <v>597</v>
      </c>
      <c r="B5" s="19" t="s">
        <v>7</v>
      </c>
      <c r="C5" s="19">
        <v>2</v>
      </c>
      <c r="D5" s="19" t="s">
        <v>598</v>
      </c>
      <c r="E5" s="19" t="s">
        <v>599</v>
      </c>
    </row>
    <row r="6" spans="1:5" ht="103.5" customHeight="1" x14ac:dyDescent="0.35">
      <c r="A6" s="19" t="s">
        <v>600</v>
      </c>
      <c r="B6" s="19" t="s">
        <v>10</v>
      </c>
      <c r="C6" s="19">
        <v>3</v>
      </c>
      <c r="D6" s="19" t="s">
        <v>601</v>
      </c>
      <c r="E6" s="19" t="s">
        <v>602</v>
      </c>
    </row>
    <row r="7" spans="1:5" ht="103.5" customHeight="1" x14ac:dyDescent="0.35">
      <c r="A7" s="19" t="s">
        <v>603</v>
      </c>
      <c r="B7" s="19" t="s">
        <v>9</v>
      </c>
      <c r="C7" s="19">
        <v>6</v>
      </c>
      <c r="D7" s="19" t="s">
        <v>604</v>
      </c>
      <c r="E7" s="19" t="s">
        <v>605</v>
      </c>
    </row>
    <row r="8" spans="1:5" ht="103.5" customHeight="1" x14ac:dyDescent="0.35">
      <c r="A8" s="19" t="s">
        <v>606</v>
      </c>
      <c r="B8" s="19" t="s">
        <v>607</v>
      </c>
      <c r="C8" s="19">
        <v>10</v>
      </c>
      <c r="D8" s="19" t="s">
        <v>608</v>
      </c>
      <c r="E8" s="19" t="s">
        <v>609</v>
      </c>
    </row>
    <row r="9" spans="1:5" ht="103.5" customHeight="1" x14ac:dyDescent="0.35">
      <c r="A9" s="19" t="s">
        <v>610</v>
      </c>
      <c r="B9" s="19" t="s">
        <v>611</v>
      </c>
      <c r="C9" s="19"/>
      <c r="D9" s="19" t="s">
        <v>612</v>
      </c>
      <c r="E9" s="19" t="s">
        <v>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C9FD-2136-4B7A-ADC8-1440F2B9BC61}">
  <dimension ref="A1:C9"/>
  <sheetViews>
    <sheetView workbookViewId="0">
      <selection sqref="A1:C1"/>
    </sheetView>
  </sheetViews>
  <sheetFormatPr defaultRowHeight="14.5" x14ac:dyDescent="0.35"/>
  <cols>
    <col min="1" max="1" width="17.6328125" customWidth="1"/>
    <col min="2" max="2" width="10.1796875" bestFit="1" customWidth="1"/>
    <col min="3" max="3" width="25.26953125" customWidth="1"/>
  </cols>
  <sheetData>
    <row r="1" spans="1:3" ht="28.5" customHeight="1" x14ac:dyDescent="0.35">
      <c r="A1" s="23" t="s">
        <v>631</v>
      </c>
      <c r="B1" s="24"/>
      <c r="C1" s="24"/>
    </row>
    <row r="2" spans="1:3" ht="15.5" x14ac:dyDescent="0.35">
      <c r="A2" s="11"/>
      <c r="B2" s="11"/>
      <c r="C2" s="11"/>
    </row>
    <row r="3" spans="1:3" ht="15.5" x14ac:dyDescent="0.35">
      <c r="A3" s="13" t="s">
        <v>578</v>
      </c>
      <c r="B3" s="11" t="s">
        <v>630</v>
      </c>
      <c r="C3" s="11" t="s">
        <v>581</v>
      </c>
    </row>
    <row r="4" spans="1:3" ht="15.5" x14ac:dyDescent="0.35">
      <c r="A4" s="14" t="s">
        <v>19</v>
      </c>
      <c r="B4" s="12">
        <v>21339.742500000008</v>
      </c>
      <c r="C4" s="11">
        <v>31</v>
      </c>
    </row>
    <row r="5" spans="1:3" ht="15.5" x14ac:dyDescent="0.35">
      <c r="A5" s="14" t="s">
        <v>69</v>
      </c>
      <c r="B5" s="12">
        <v>13635.350000000004</v>
      </c>
      <c r="C5" s="11">
        <v>24</v>
      </c>
    </row>
    <row r="6" spans="1:3" ht="15.5" x14ac:dyDescent="0.35">
      <c r="A6" s="14" t="s">
        <v>89</v>
      </c>
      <c r="B6" s="12">
        <v>11830.189999999999</v>
      </c>
      <c r="C6" s="11">
        <v>24</v>
      </c>
    </row>
    <row r="7" spans="1:3" ht="15.5" x14ac:dyDescent="0.35">
      <c r="A7" s="14" t="s">
        <v>30</v>
      </c>
      <c r="B7" s="12">
        <v>15547.089999999998</v>
      </c>
      <c r="C7" s="11">
        <v>28</v>
      </c>
    </row>
    <row r="8" spans="1:3" ht="15.5" x14ac:dyDescent="0.35">
      <c r="A8" s="14" t="s">
        <v>113</v>
      </c>
      <c r="B8" s="12">
        <v>17907.019999999993</v>
      </c>
      <c r="C8" s="11">
        <v>33</v>
      </c>
    </row>
    <row r="9" spans="1:3" ht="15.5" x14ac:dyDescent="0.35">
      <c r="A9" s="14" t="s">
        <v>579</v>
      </c>
      <c r="B9" s="12">
        <v>80259.392500000002</v>
      </c>
      <c r="C9" s="11">
        <v>140</v>
      </c>
    </row>
  </sheetData>
  <mergeCells count="1">
    <mergeCell ref="A1:C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551F-090A-40CC-8B50-37BC13D5A4CA}">
  <dimension ref="A1:C9"/>
  <sheetViews>
    <sheetView workbookViewId="0">
      <selection activeCell="C18" sqref="C18"/>
    </sheetView>
  </sheetViews>
  <sheetFormatPr defaultRowHeight="14.5" x14ac:dyDescent="0.35"/>
  <cols>
    <col min="1" max="1" width="20.453125" bestFit="1" customWidth="1"/>
    <col min="2" max="2" width="16.08984375" bestFit="1" customWidth="1"/>
    <col min="3" max="3" width="19.36328125" bestFit="1" customWidth="1"/>
  </cols>
  <sheetData>
    <row r="1" spans="1:3" ht="31" customHeight="1" x14ac:dyDescent="0.35">
      <c r="A1" s="23" t="s">
        <v>632</v>
      </c>
      <c r="B1" s="25"/>
      <c r="C1" s="25"/>
    </row>
    <row r="2" spans="1:3" ht="15.5" x14ac:dyDescent="0.35">
      <c r="A2" s="11"/>
      <c r="B2" s="11"/>
      <c r="C2" s="11"/>
    </row>
    <row r="3" spans="1:3" ht="15.5" x14ac:dyDescent="0.35">
      <c r="A3" s="13" t="s">
        <v>578</v>
      </c>
      <c r="B3" s="11" t="s">
        <v>580</v>
      </c>
      <c r="C3" s="11" t="s">
        <v>629</v>
      </c>
    </row>
    <row r="4" spans="1:3" ht="15.5" x14ac:dyDescent="0.35">
      <c r="A4" s="14" t="s">
        <v>42</v>
      </c>
      <c r="B4" s="12">
        <v>20300.339999999997</v>
      </c>
      <c r="C4" s="15">
        <v>30</v>
      </c>
    </row>
    <row r="5" spans="1:3" ht="15.5" x14ac:dyDescent="0.35">
      <c r="A5" s="14" t="s">
        <v>120</v>
      </c>
      <c r="B5" s="12">
        <v>9327.630000000001</v>
      </c>
      <c r="C5" s="15">
        <v>24</v>
      </c>
    </row>
    <row r="6" spans="1:3" ht="15.5" x14ac:dyDescent="0.35">
      <c r="A6" s="14" t="s">
        <v>32</v>
      </c>
      <c r="B6" s="12">
        <v>22094.569999999996</v>
      </c>
      <c r="C6" s="15">
        <v>32</v>
      </c>
    </row>
    <row r="7" spans="1:3" ht="15.5" x14ac:dyDescent="0.35">
      <c r="A7" s="14" t="s">
        <v>71</v>
      </c>
      <c r="B7" s="12">
        <v>11349.22</v>
      </c>
      <c r="C7" s="15">
        <v>23</v>
      </c>
    </row>
    <row r="8" spans="1:3" ht="15.5" x14ac:dyDescent="0.35">
      <c r="A8" s="14" t="s">
        <v>21</v>
      </c>
      <c r="B8" s="12">
        <v>17187.6325</v>
      </c>
      <c r="C8" s="15">
        <v>31</v>
      </c>
    </row>
    <row r="9" spans="1:3" ht="15.5" x14ac:dyDescent="0.35">
      <c r="A9" s="14" t="s">
        <v>579</v>
      </c>
      <c r="B9" s="12">
        <v>80259.392499999987</v>
      </c>
      <c r="C9" s="15">
        <v>140</v>
      </c>
    </row>
  </sheetData>
  <mergeCells count="1">
    <mergeCell ref="A1:C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6492-2864-4E87-AE56-CC0403B7768D}">
  <dimension ref="A1:D6"/>
  <sheetViews>
    <sheetView workbookViewId="0">
      <selection activeCell="C11" sqref="C11"/>
    </sheetView>
  </sheetViews>
  <sheetFormatPr defaultRowHeight="14.5" x14ac:dyDescent="0.35"/>
  <cols>
    <col min="1" max="1" width="16" customWidth="1"/>
    <col min="2" max="2" width="16.08984375" bestFit="1" customWidth="1"/>
    <col min="3" max="3" width="27.7265625" customWidth="1"/>
    <col min="4" max="4" width="17.1796875" customWidth="1"/>
  </cols>
  <sheetData>
    <row r="1" spans="1:4" ht="39.5" customHeight="1" x14ac:dyDescent="0.35">
      <c r="A1" s="23" t="s">
        <v>634</v>
      </c>
      <c r="B1" s="25"/>
      <c r="C1" s="25"/>
      <c r="D1" s="25"/>
    </row>
    <row r="3" spans="1:4" ht="15.5" x14ac:dyDescent="0.35">
      <c r="A3" s="13" t="s">
        <v>578</v>
      </c>
      <c r="B3" s="11" t="s">
        <v>630</v>
      </c>
      <c r="C3" s="11" t="s">
        <v>633</v>
      </c>
      <c r="D3" s="11" t="s">
        <v>629</v>
      </c>
    </row>
    <row r="4" spans="1:4" ht="15.5" x14ac:dyDescent="0.35">
      <c r="A4" s="14" t="s">
        <v>53</v>
      </c>
      <c r="B4" s="12">
        <v>46867.642500000016</v>
      </c>
      <c r="C4" s="12">
        <v>6.8395061728395063</v>
      </c>
      <c r="D4" s="15">
        <v>81</v>
      </c>
    </row>
    <row r="5" spans="1:4" ht="15.5" x14ac:dyDescent="0.35">
      <c r="A5" s="14" t="s">
        <v>63</v>
      </c>
      <c r="B5" s="12">
        <v>33391.75</v>
      </c>
      <c r="C5" s="12">
        <v>7.3220338983050848</v>
      </c>
      <c r="D5" s="15">
        <v>59</v>
      </c>
    </row>
    <row r="6" spans="1:4" ht="15.5" x14ac:dyDescent="0.35">
      <c r="A6" s="14" t="s">
        <v>579</v>
      </c>
      <c r="B6" s="12">
        <v>80259.392500000016</v>
      </c>
      <c r="C6" s="12">
        <v>7.0428571428571427</v>
      </c>
      <c r="D6" s="15">
        <v>140</v>
      </c>
    </row>
  </sheetData>
  <mergeCells count="1">
    <mergeCell ref="A1:D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34A3-323E-46FF-A941-B10C7F33321A}">
  <dimension ref="A1:D18"/>
  <sheetViews>
    <sheetView tabSelected="1" workbookViewId="0">
      <selection activeCell="E2" sqref="E2"/>
    </sheetView>
  </sheetViews>
  <sheetFormatPr defaultRowHeight="14.5" x14ac:dyDescent="0.35"/>
  <cols>
    <col min="1" max="1" width="10.08984375" customWidth="1"/>
    <col min="2" max="2" width="21.08984375" customWidth="1"/>
    <col min="3" max="3" width="21.7265625" customWidth="1"/>
    <col min="4" max="4" width="7.26953125" hidden="1" customWidth="1"/>
  </cols>
  <sheetData>
    <row r="1" spans="1:4" ht="27.5" customHeight="1" x14ac:dyDescent="0.35">
      <c r="A1" s="21" t="s">
        <v>639</v>
      </c>
      <c r="B1" s="22"/>
      <c r="C1" s="22"/>
    </row>
    <row r="3" spans="1:4" ht="15.5" x14ac:dyDescent="0.35">
      <c r="A3" s="20" t="s">
        <v>615</v>
      </c>
      <c r="B3" s="20" t="s">
        <v>637</v>
      </c>
      <c r="C3" s="20" t="s">
        <v>638</v>
      </c>
      <c r="D3" s="11"/>
    </row>
    <row r="4" spans="1:4" ht="15.5" x14ac:dyDescent="0.35">
      <c r="A4" s="11" t="s">
        <v>617</v>
      </c>
      <c r="B4" s="11">
        <f>SUMIF('Retail Sales Record '!C2:C141,'Monthly Trend &amp; Forecast '!A4,'Retail Sales Record '!L2:L141)</f>
        <v>3867.85</v>
      </c>
      <c r="C4" s="11"/>
      <c r="D4" s="11">
        <v>1</v>
      </c>
    </row>
    <row r="5" spans="1:4" ht="15.5" x14ac:dyDescent="0.35">
      <c r="A5" s="11" t="s">
        <v>620</v>
      </c>
      <c r="B5" s="11">
        <f>SUMIF('Retail Sales Record '!C3:C142,'Monthly Trend &amp; Forecast '!A5,'Retail Sales Record '!L3:L142)</f>
        <v>9849.93</v>
      </c>
      <c r="C5" s="11"/>
      <c r="D5" s="11">
        <v>2</v>
      </c>
    </row>
    <row r="6" spans="1:4" ht="15.5" x14ac:dyDescent="0.35">
      <c r="A6" s="11" t="s">
        <v>626</v>
      </c>
      <c r="B6" s="11">
        <f>SUMIF('Retail Sales Record '!C4:C143,'Monthly Trend &amp; Forecast '!A6,'Retail Sales Record '!L4:L143)</f>
        <v>2481.89</v>
      </c>
      <c r="C6" s="11"/>
      <c r="D6" s="11">
        <v>3</v>
      </c>
    </row>
    <row r="7" spans="1:4" ht="15.5" x14ac:dyDescent="0.35">
      <c r="A7" s="11" t="s">
        <v>618</v>
      </c>
      <c r="B7" s="11">
        <f>SUMIF('Retail Sales Record '!C5:C144,'Monthly Trend &amp; Forecast '!A7,'Retail Sales Record '!L5:L144)</f>
        <v>6800.2</v>
      </c>
      <c r="C7" s="11"/>
      <c r="D7" s="11">
        <v>4</v>
      </c>
    </row>
    <row r="8" spans="1:4" ht="15.5" x14ac:dyDescent="0.35">
      <c r="A8" s="11" t="s">
        <v>621</v>
      </c>
      <c r="B8" s="11">
        <f>SUMIF('Retail Sales Record '!C6:C145,'Monthly Trend &amp; Forecast '!A8,'Retail Sales Record '!L6:L145)</f>
        <v>9346.98</v>
      </c>
      <c r="C8" s="11"/>
      <c r="D8" s="11">
        <v>5</v>
      </c>
    </row>
    <row r="9" spans="1:4" ht="15.5" x14ac:dyDescent="0.35">
      <c r="A9" s="11" t="s">
        <v>619</v>
      </c>
      <c r="B9" s="11">
        <f>SUMIF('Retail Sales Record '!C7:C146,'Monthly Trend &amp; Forecast '!A9,'Retail Sales Record '!L7:L146)</f>
        <v>4589.3899999999994</v>
      </c>
      <c r="C9" s="11"/>
      <c r="D9" s="11">
        <v>6</v>
      </c>
    </row>
    <row r="10" spans="1:4" ht="15.5" x14ac:dyDescent="0.35">
      <c r="A10" s="11" t="s">
        <v>622</v>
      </c>
      <c r="B10" s="11">
        <f>SUMIF('Retail Sales Record '!C8:C147,'Monthly Trend &amp; Forecast '!A10,'Retail Sales Record '!L8:L147)</f>
        <v>12411.48</v>
      </c>
      <c r="C10" s="11"/>
      <c r="D10" s="11">
        <v>7</v>
      </c>
    </row>
    <row r="11" spans="1:4" ht="15.5" x14ac:dyDescent="0.35">
      <c r="A11" s="11" t="s">
        <v>616</v>
      </c>
      <c r="B11" s="11">
        <f>SUMIF('Retail Sales Record '!C9:C148,'Monthly Trend &amp; Forecast '!A11,'Retail Sales Record '!L9:L148)</f>
        <v>6856.95</v>
      </c>
      <c r="C11" s="11"/>
      <c r="D11" s="11">
        <v>8</v>
      </c>
    </row>
    <row r="12" spans="1:4" ht="15.5" x14ac:dyDescent="0.35">
      <c r="A12" s="11" t="s">
        <v>623</v>
      </c>
      <c r="B12" s="11">
        <f>SUMIF('Retail Sales Record '!C10:C149,'Monthly Trend &amp; Forecast '!A12,'Retail Sales Record '!L10:L149)</f>
        <v>4111.32</v>
      </c>
      <c r="C12" s="11"/>
      <c r="D12" s="11">
        <v>9</v>
      </c>
    </row>
    <row r="13" spans="1:4" ht="15.5" x14ac:dyDescent="0.35">
      <c r="A13" s="11" t="s">
        <v>625</v>
      </c>
      <c r="B13" s="11">
        <f>SUMIF('Retail Sales Record '!C11:C150,'Monthly Trend &amp; Forecast '!A13,'Retail Sales Record '!L11:L150)</f>
        <v>5869.2624999999998</v>
      </c>
      <c r="C13" s="11"/>
      <c r="D13" s="11">
        <v>10</v>
      </c>
    </row>
    <row r="14" spans="1:4" ht="15.5" x14ac:dyDescent="0.35">
      <c r="A14" s="11" t="s">
        <v>624</v>
      </c>
      <c r="B14" s="11">
        <f>SUMIF('Retail Sales Record '!C12:C151,'Monthly Trend &amp; Forecast '!A14,'Retail Sales Record '!L12:L151)</f>
        <v>11612.79</v>
      </c>
      <c r="C14" s="11"/>
      <c r="D14" s="11">
        <v>11</v>
      </c>
    </row>
    <row r="15" spans="1:4" ht="15.5" x14ac:dyDescent="0.35">
      <c r="A15" s="16" t="s">
        <v>635</v>
      </c>
      <c r="B15" s="11"/>
      <c r="C15" s="17">
        <f>FORECAST(D15,B4:B17,D4:D17)</f>
        <v>8756.2758636363651</v>
      </c>
      <c r="D15" s="11">
        <v>12</v>
      </c>
    </row>
    <row r="16" spans="1:4" ht="15.5" x14ac:dyDescent="0.35">
      <c r="A16" s="16" t="s">
        <v>636</v>
      </c>
      <c r="B16" s="11"/>
      <c r="C16" s="17">
        <f>FORECAST(D16,B4:B17,D4:D17)</f>
        <v>9036.8969545454547</v>
      </c>
      <c r="D16" s="11">
        <v>13</v>
      </c>
    </row>
    <row r="17" spans="1:4" ht="15.5" x14ac:dyDescent="0.35">
      <c r="A17" s="16" t="s">
        <v>628</v>
      </c>
      <c r="B17" s="11"/>
      <c r="C17" s="17">
        <f>FORECAST(D17,B4:B17,D4:D17)</f>
        <v>9317.5180454545462</v>
      </c>
      <c r="D17" s="11">
        <v>14</v>
      </c>
    </row>
    <row r="18" spans="1:4" ht="15.5" x14ac:dyDescent="0.35">
      <c r="A18" s="11"/>
      <c r="B18" s="11"/>
      <c r="C18" s="11"/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Sales Data</vt:lpstr>
      <vt:lpstr>Retail Sales Record </vt:lpstr>
      <vt:lpstr>Data Summary </vt:lpstr>
      <vt:lpstr>Pivot -Region</vt:lpstr>
      <vt:lpstr>Pivot - Category</vt:lpstr>
      <vt:lpstr>Pivot - Channel</vt:lpstr>
      <vt:lpstr>Monthly Trend &amp; Forecast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adeyemo oyindamola</cp:lastModifiedBy>
  <cp:revision>0</cp:revision>
  <dcterms:created xsi:type="dcterms:W3CDTF">2026-09-14T12:54:58Z</dcterms:created>
  <dcterms:modified xsi:type="dcterms:W3CDTF">2026-09-16T13:06:42Z</dcterms:modified>
  <dc:language>en-US</dc:language>
</cp:coreProperties>
</file>